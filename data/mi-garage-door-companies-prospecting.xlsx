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2462353eb545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a2012f55e24bfb"/>
    <x:sheet xmlns:r="http://schemas.openxmlformats.org/officeDocument/2006/relationships" name="Verified Companies" sheetId="2" r:id="R541a48fea6664083"/>
    <x:sheet xmlns:r="http://schemas.openxmlformats.org/officeDocument/2006/relationships" name="Market by City" sheetId="3" r:id="R4a4281bcabca4b4f"/>
    <x:sheet xmlns:r="http://schemas.openxmlformats.org/officeDocument/2006/relationships" name="Methodology &amp; Sources" sheetId="4" r:id="Re24498e26a8146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"/>
    <x:numFmt numFmtId="202" formatCode="0"/>
  </x:numFmts>
  <x:fonts count="12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72033"/>
      <x:name val="Carlito"/>
    </x:font>
    <x:font>
      <x:b/>
      <x:sz val="11"/>
      <x:color rgb="FFFFFFFF"/>
      <x:name val="Carlito"/>
    </x:font>
    <x:font>
      <x:b/>
      <x:sz val="22"/>
      <x:color rgb="FF2563EB"/>
      <x:name val="Carlito"/>
    </x:font>
    <x:font>
      <x:sz val="9"/>
      <x:color rgb="FF6B7280"/>
      <x:name val="Carlito"/>
    </x:font>
    <x:font>
      <x:sz val="11"/>
      <x:color rgb="FF172033"/>
      <x:name val="Carlito"/>
    </x:font>
    <x:font>
      <x:sz val="10"/>
      <x:color rgb="FF172033"/>
      <x:name val="Carlito"/>
    </x:font>
    <x:font>
      <x:sz val="9"/>
      <x:color rgb="FF2563EB"/>
      <x:name val="Carlito"/>
    </x:font>
    <x:font>
      <x:b/>
      <x:sz val="11"/>
      <x:color rgb="FF0A1D38"/>
      <x:name val="Carlito"/>
    </x:font>
    <x:font>
      <x:b/>
      <x:sz val="18"/>
      <x:color rgb="FFFFFFFF"/>
      <x:name val="Carlito"/>
    </x:font>
    <x:font>
      <x:i/>
      <x:sz val="9"/>
      <x:color rgb="FF6B728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A1D38"/>
      </x:patternFill>
    </x:fill>
    <x:fill>
      <x:patternFill patternType="solid">
        <x:fgColor rgb="FFEAF2FF"/>
      </x:patternFill>
    </x:fill>
    <x:fill>
      <x:patternFill patternType="solid">
        <x:fgColor rgb="FFF3F4F6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top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1" fontId="7" fillId="0" borderId="0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202" fontId="7" fillId="0" borderId="0" xfId="0" applyNumberFormat="1" applyFont="1" applyFill="1" applyBorder="1" applyAlignment="1">
      <x:alignment vertical="top" wrapText="1"/>
    </x:xf>
    <x:xf numFmtId="202" fontId="7" fillId="0" borderId="1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/>
    <x:xf numFmtId="0" fontId="9" fillId="3" borderId="1" xfId="0" applyNumberFormat="1" applyFont="1" applyFill="1" applyBorder="1"/>
    <x:xf numFmtId="200" fontId="9" fillId="3" borderId="0" xfId="0" applyNumberFormat="1" applyFont="1" applyFill="1" applyBorder="1"/>
    <x:xf numFmtId="200" fontId="9" fillId="3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27679c330a43f2" /><Relationship Type="http://schemas.openxmlformats.org/officeDocument/2006/relationships/theme" Target="/xl/theme/theme1.xml" Id="R6055991f2ff24c4b" /><Relationship Type="http://schemas.openxmlformats.org/officeDocument/2006/relationships/sharedStrings" Target="/xl/sharedStrings.xml" Id="R4cc82cc0d3c84798" /><Relationship Type="http://schemas.openxmlformats.org/officeDocument/2006/relationships/worksheet" Target="/xl/worksheets/sheet1.xml" Id="R0da2012f55e24bfb" /><Relationship Type="http://schemas.openxmlformats.org/officeDocument/2006/relationships/worksheet" Target="/xl/worksheets/sheet2.xml" Id="R541a48fea6664083" /><Relationship Type="http://schemas.openxmlformats.org/officeDocument/2006/relationships/worksheet" Target="/xl/worksheets/sheet3.xml" Id="R4a4281bcabca4b4f" /><Relationship Type="http://schemas.openxmlformats.org/officeDocument/2006/relationships/worksheet" Target="/xl/worksheets/sheet4.xml" Id="Re24498e26a81460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06837c62515420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Michigan Garage-Door Market Benchmarks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'Summary'!$A$32:$A$35</c:f>
              <c:strCache>
                <c:ptCount val="0"/>
              </c:strCache>
            </c:strRef>
          </c:cat>
          <c:val>
            <c:numRef>
              <c:f>'Summary'!$B$32:$B$35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30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6837c62515420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erifiedGarageDoorCompanies" displayName="VerifiedGarageDoorCompanies" ref="A1:N187" headerRowCount="1" totalsRowCount="0" totalsRowShown="0">
  <x:tableColumns count="14">
    <x:tableColumn id="1" name="Company / Location"/>
    <x:tableColumn id="2" name="Address"/>
    <x:tableColumn id="3" name="City"/>
    <x:tableColumn id="4" name="Primary Phone"/>
    <x:tableColumn id="5" name="Alternate Phone"/>
    <x:tableColumn id="6" name="Service"/>
    <x:tableColumn id="7" name="Rating"/>
    <x:tableColumn id="8" name="Reviews"/>
    <x:tableColumn id="9" name="Region Checked"/>
    <x:tableColumn id="10" name="Source Type"/>
    <x:tableColumn id="11" name="Confidence"/>
    <x:tableColumn id="12" name="Source URL"/>
    <x:tableColumn id="13" name="Secondary Source URL"/>
    <x:tableColumn id="1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chiganMarketByCity" displayName="MichiganMarketByCity" ref="A1:D100" headerRowCount="1" totalsRowCount="0" totalsRowShown="0">
  <x:tableColumns count="4">
    <x:tableColumn id="1" name="City / Area"/>
    <x:tableColumn id="2" name="Supplier Location Listings"/>
    <x:tableColumn id="3" name="% of Statewide"/>
    <x:tableColumn id="4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301fc9f449a452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fb9cf2dd0349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1094384e074c6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31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8" customHeight="1">
      <x:c r="A1" s="52" t="str">
        <x:v>Michigan Garage Door Companies — Statewide Market &amp; Prospect List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</x:row>
    <x:row r="2" ht="28" customHeight="1">
      <x:c r="A2" s="52"/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</x:row>
    <x:row r="3" ht="22" customHeight="1">
      <x:c r="A3" s="53" t="str">
        <x:v>Research snapshot: August 9, 2026  |  Scope: Michigan businesses involved in garage-door installation plus service/repair</x:v>
      </x:c>
      <x:c r="B3" s="53"/>
      <x:c r="C3" s="53"/>
      <x:c r="D3" s="53"/>
      <x:c r="E3" s="53"/>
      <x:c r="F3" s="53"/>
      <x:c r="G3" s="53"/>
      <x:c r="H3" s="53"/>
      <x:c r="I3" s="53"/>
      <x:c r="J3" s="53"/>
      <x:c r="K3" s="53"/>
      <x:c r="L3" s="53"/>
    </x:row>
    <x:row r="4">
      <x:c r="A4" s="54"/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</x:row>
    <x:row r="5">
      <x:c r="A5" s="55" t="str">
        <x:v>Broadest current location count</x:v>
      </x:c>
      <x:c r="B5" s="55"/>
      <x:c r="C5" s="55"/>
      <x:c r="D5" s="55" t="str">
        <x:v>Manta category businesses</x:v>
      </x:c>
      <x:c r="E5" s="55"/>
      <x:c r="F5" s="55"/>
      <x:c r="G5" s="55" t="str">
        <x:v>Verified rows in this workbook</x:v>
      </x:c>
      <x:c r="H5" s="55"/>
      <x:c r="I5" s="55"/>
      <x:c r="J5" s="55" t="str">
        <x:v>Clopay-authorized locations</x:v>
      </x:c>
      <x:c r="K5" s="55"/>
      <x:c r="L5" s="55"/>
    </x:row>
    <x:row r="6">
      <x:c r="A6" s="56" t="n">
        <x:v>539</x:v>
      </x:c>
      <x:c r="B6" s="56"/>
      <x:c r="C6" s="56"/>
      <x:c r="D6" s="56" t="n">
        <x:v>471</x:v>
      </x:c>
      <x:c r="E6" s="56"/>
      <x:c r="F6" s="56"/>
      <x:c r="G6" s="56" t="n">
        <x:f>COUNTA('Verified Companies'!A2:A187)</x:f>
        <x:v>186</x:v>
      </x:c>
      <x:c r="H6" s="56"/>
      <x:c r="I6" s="56"/>
      <x:c r="J6" s="56" t="n">
        <x:f>COUNTIF('Verified Companies'!J2:J187,"Clopay Authorized Dealer")</x:f>
        <x:v>57</x:v>
      </x:c>
      <x:c r="K6" s="56"/>
      <x:c r="L6" s="56"/>
    </x:row>
    <x:row r="7">
      <x:c r="A7" s="56"/>
      <x:c r="B7" s="56"/>
      <x:c r="C7" s="56"/>
      <x:c r="D7" s="56"/>
      <x:c r="E7" s="56"/>
      <x:c r="F7" s="56"/>
      <x:c r="G7" s="56"/>
      <x:c r="H7" s="56"/>
      <x:c r="I7" s="56"/>
      <x:c r="J7" s="56"/>
      <x:c r="K7" s="56"/>
      <x:c r="L7" s="56"/>
    </x:row>
    <x:row r="8">
      <x:c r="A8" s="56"/>
      <x:c r="B8" s="56"/>
      <x:c r="C8" s="56"/>
      <x:c r="D8" s="56"/>
      <x:c r="E8" s="56"/>
      <x:c r="F8" s="56"/>
      <x:c r="G8" s="56"/>
      <x:c r="H8" s="56"/>
      <x:c r="I8" s="56"/>
      <x:c r="J8" s="56"/>
      <x:c r="K8" s="56"/>
      <x:c r="L8" s="56"/>
    </x:row>
    <x:row r="9">
      <x:c r="A9" s="31" t="str">
        <x:v>Rentech / SmartScrapers, data updated Apr. 1, 2026</x:v>
      </x:c>
      <x:c r="B9" s="31"/>
      <x:c r="C9" s="31"/>
      <x:c r="D9" s="31" t="str">
        <x:v>Useful cross-check; may include stale/SEO listings</x:v>
      </x:c>
      <x:c r="E9" s="31"/>
      <x:c r="F9" s="31"/>
      <x:c r="G9" s="31" t="str">
        <x:v>After final dedupe of duplicate cross-source entries</x:v>
      </x:c>
      <x:c r="H9" s="31"/>
      <x:c r="I9" s="31"/>
      <x:c r="J9" s="31" t="str">
        <x:v>Manufacturer-authorized installation + repair network</x:v>
      </x:c>
      <x:c r="K9" s="31"/>
      <x:c r="L9" s="31"/>
    </x:row>
    <x:row r="10">
      <x:c r="A10" s="54"/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  <x:c r="L10" s="54"/>
    </x:row>
    <x:row r="11">
      <x:c r="A11" s="54"/>
      <x:c r="B11" s="54"/>
      <x:c r="C11" s="54"/>
      <x:c r="D11" s="54"/>
      <x:c r="E11" s="54"/>
      <x:c r="F11" s="54"/>
      <x:c r="G11" s="54"/>
      <x:c r="H11" s="54"/>
      <x:c r="I11" s="54"/>
      <x:c r="J11" s="54"/>
      <x:c r="K11" s="54"/>
      <x:c r="L11" s="54"/>
    </x:row>
    <x:row r="12" ht="38" customHeight="1">
      <x:c r="A12" s="57" t="str">
        <x:v>Measure</x:v>
      </x:c>
      <x:c r="B12" s="57" t="str">
        <x:v>Count</x:v>
      </x:c>
      <x:c r="C12" s="57" t="str">
        <x:v>What it represents</x:v>
      </x:c>
      <x:c r="D12" s="57" t="str">
        <x:v>Source</x:v>
      </x:c>
      <x:c r="E12" s="54"/>
      <x:c r="F12" s="58" t="str">
        <x:v>How to read the number</x:v>
      </x:c>
      <x:c r="G12" s="58"/>
      <x:c r="H12" s="58"/>
      <x:c r="I12" s="58"/>
      <x:c r="J12" s="58"/>
      <x:c r="K12" s="58"/>
      <x:c r="L12" s="58"/>
    </x:row>
    <x:row r="13" ht="42" customHeight="1">
      <x:c r="A13" s="54" t="str">
        <x:v>Broad supplier/location listings</x:v>
      </x:c>
      <x:c r="B13" s="54" t="n">
        <x:v>539</x:v>
      </x:c>
      <x:c r="C13" s="54" t="str">
        <x:v>Garage-door supplier locations/listings statewide; not necessarily unique corporate entities.</x:v>
      </x:c>
      <x:c r="D13" s="54" t="str">
        <x:v>Rentech / SmartScrapers</x:v>
      </x:c>
      <x:c r="E13" s="54"/>
      <x:c r="F13" s="40" t="str">
        <x:v>Best current broad market-size answer: about 500 garage-door supplier/service locations in Michigan. The highest current directory count located is 539.</x:v>
      </x:c>
      <x:c r="G13" s="40"/>
      <x:c r="H13" s="40"/>
      <x:c r="I13" s="40"/>
      <x:c r="J13" s="40"/>
      <x:c r="K13" s="40"/>
      <x:c r="L13" s="40"/>
    </x:row>
    <x:row r="14" ht="42" customHeight="1">
      <x:c r="A14" s="54" t="str">
        <x:v>Manta Garage Doors businesses</x:v>
      </x:c>
      <x:c r="B14" s="54" t="n">
        <x:v>471</x:v>
      </x:c>
      <x:c r="C14" s="54" t="str">
        <x:v>Businesses categorized by Manta under Garage Doors in Michigan.</x:v>
      </x:c>
      <x:c r="D14" s="54" t="str">
        <x:v>Manta</x:v>
      </x:c>
      <x:c r="E14" s="54"/>
      <x:c r="F14" s="40"/>
      <x:c r="G14" s="40"/>
      <x:c r="H14" s="40"/>
      <x:c r="I14" s="40"/>
      <x:c r="J14" s="40"/>
      <x:c r="K14" s="40"/>
      <x:c r="L14" s="40"/>
    </x:row>
    <x:row r="15" ht="42" customHeight="1">
      <x:c r="A15" s="54" t="str">
        <x:v>Single-owner operations</x:v>
      </x:c>
      <x:c r="B15" s="54" t="n">
        <x:v>358</x:v>
      </x:c>
      <x:c r="C15" s="54" t="str">
        <x:v>Rentech subset of the 539 location listings.</x:v>
      </x:c>
      <x:c r="D15" s="54" t="str">
        <x:v>Rentech / SmartScrapers</x:v>
      </x:c>
      <x:c r="E15" s="54"/>
      <x:c r="F15" s="46" t="str">
        <x:v>539 is a location/listing count, not 539 distinct corporate companies: the same source breaks it into 358 single-owner operations and 181 locations belonging to larger brands.</x:v>
      </x:c>
      <x:c r="G15" s="46"/>
      <x:c r="H15" s="46"/>
      <x:c r="I15" s="46"/>
      <x:c r="J15" s="46"/>
      <x:c r="K15" s="46"/>
      <x:c r="L15" s="46"/>
    </x:row>
    <x:row r="16" ht="42" customHeight="1">
      <x:c r="A16" s="54" t="str">
        <x:v>Larger-brand locations</x:v>
      </x:c>
      <x:c r="B16" s="54" t="n">
        <x:v>181</x:v>
      </x:c>
      <x:c r="C16" s="54" t="str">
        <x:v>Rentech subset of the 539 location listings.</x:v>
      </x:c>
      <x:c r="D16" s="54" t="str">
        <x:v>Rentech / SmartScrapers</x:v>
      </x:c>
      <x:c r="E16" s="54"/>
      <x:c r="F16" s="46"/>
      <x:c r="G16" s="46"/>
      <x:c r="H16" s="46"/>
      <x:c r="I16" s="46"/>
      <x:c r="J16" s="46"/>
      <x:c r="K16" s="46"/>
      <x:c r="L16" s="46"/>
    </x:row>
    <x:row r="17" ht="42" customHeight="1">
      <x:c r="A17" s="54" t="str">
        <x:v>Verified workbook rows</x:v>
      </x:c>
      <x:c r="B17" s="54" t="n">
        <x:f>G6</x:f>
        <x:v>186</x:v>
      </x:c>
      <x:c r="C17" s="54" t="str">
        <x:v>Publicly verifiable prospecting rows collected and deduplicated in this workbook.</x:v>
      </x:c>
      <x:c r="D17" s="54" t="str">
        <x:v>This workbook</x:v>
      </x:c>
      <x:c r="E17" s="54"/>
      <x:c r="F17" s="46" t="str">
        <x:v>This workbook contains 186 higher-confidence public row-level records. It is intentionally not padded to 539 because the broad provider exposes only a 10-record public sample of its full paid dataset.</x:v>
      </x:c>
      <x:c r="G17" s="46"/>
      <x:c r="H17" s="46"/>
      <x:c r="I17" s="46"/>
      <x:c r="J17" s="46"/>
      <x:c r="K17" s="46"/>
      <x:c r="L17" s="46"/>
    </x:row>
    <x:row r="18" ht="42" customHeight="1">
      <x:c r="A18" s="54" t="str">
        <x:v>Clopay-authorized Michigan locations</x:v>
      </x:c>
      <x:c r="B18" s="54" t="n">
        <x:f>J6</x:f>
        <x:v>57</x:v>
      </x:c>
      <x:c r="C18" s="54" t="str">
        <x:v>Physical Michigan dealer locations from Clopay's dealer directory.</x:v>
      </x:c>
      <x:c r="D18" s="54" t="str">
        <x:v>Clopay dealer directory</x:v>
      </x:c>
      <x:c r="E18" s="54"/>
      <x:c r="F18" s="46"/>
      <x:c r="G18" s="46"/>
      <x:c r="H18" s="46"/>
      <x:c r="I18" s="46"/>
      <x:c r="J18" s="46"/>
      <x:c r="K18" s="46"/>
      <x:c r="L18" s="46"/>
    </x:row>
    <x:row r="19" ht="26" customHeight="1">
      <x:c r="A19" s="54"/>
      <x:c r="B19" s="54"/>
      <x:c r="C19" s="54"/>
      <x:c r="D19" s="54"/>
      <x:c r="E19" s="54"/>
      <x:c r="F19" s="46" t="str">
        <x:v>For sales prospecting, use the Verified Companies sheet first. Filter by City, Source Type, Confidence, reviews, or region.</x:v>
      </x:c>
      <x:c r="G19" s="46"/>
      <x:c r="H19" s="46"/>
      <x:c r="I19" s="46"/>
      <x:c r="J19" s="46"/>
      <x:c r="K19" s="46"/>
      <x:c r="L19" s="46"/>
    </x:row>
    <x:row r="20" ht="26" customHeight="1">
      <x:c r="A20" s="102" t="str">
        <x:v>Full plain-text source URLs are retained in Verified Companies and Methodology &amp; Sources.</x:v>
      </x:c>
      <x:c r="B20" s="102"/>
      <x:c r="C20" s="102"/>
      <x:c r="D20" s="102"/>
      <x:c r="E20" s="54"/>
      <x:c r="F20" s="46"/>
      <x:c r="G20" s="46"/>
      <x:c r="H20" s="46"/>
      <x:c r="I20" s="46"/>
      <x:c r="J20" s="46"/>
      <x:c r="K20" s="46"/>
      <x:c r="L20" s="46"/>
    </x:row>
    <x:row r="21" ht="26" customHeight="1">
      <x:c r="A21" s="54"/>
      <x:c r="B21" s="54"/>
      <x:c r="C21" s="54"/>
      <x:c r="D21" s="54"/>
      <x:c r="E21" s="54"/>
      <x:c r="F21" s="54"/>
      <x:c r="G21" s="54"/>
      <x:c r="H21" s="54"/>
      <x:c r="I21" s="54"/>
      <x:c r="J21" s="54"/>
      <x:c r="K21" s="54"/>
      <x:c r="L21" s="54"/>
    </x:row>
    <x:row r="22" ht="26" customHeight="1">
      <x:c r="A22" s="58" t="str">
        <x:v>Workbook prospect quality</x:v>
      </x:c>
      <x:c r="B22" s="58" t="str">
        <x:v>Count</x:v>
      </x:c>
      <x:c r="C22" s="58" t="str">
        <x:v>% of verified rows</x:v>
      </x:c>
      <x:c r="D22" s="58" t="str">
        <x:v>Definition</x:v>
      </x:c>
      <x:c r="E22" s="54"/>
      <x:c r="F22" s="58" t="str">
        <x:v>Practical caveats</x:v>
      </x:c>
      <x:c r="G22" s="58"/>
      <x:c r="H22" s="58"/>
      <x:c r="I22" s="58"/>
      <x:c r="J22" s="58"/>
      <x:c r="K22" s="58"/>
      <x:c r="L22" s="58"/>
    </x:row>
    <x:row r="23" ht="26" customHeight="1">
      <x:c r="A23" s="54" t="str">
        <x:v>High confidence</x:v>
      </x:c>
      <x:c r="B23" s="54" t="n">
        <x:f>COUNTIF('Verified Companies'!K2:K187,"High")</x:f>
        <x:v>156</x:v>
      </x:c>
      <x:c r="C23" s="59" t="n">
        <x:f>B23/$G$6</x:f>
        <x:v>0.8387096774193549</x:v>
      </x:c>
      <x:c r="D23" s="54" t="str">
        <x:v>Manufacturer-authorized dealer or current listing with 10+ reviews.</x:v>
      </x:c>
      <x:c r="E23" s="54"/>
      <x:c r="F23" s="46" t="str">
        <x:v>There is no single public Michigan state registry that cleanly identifies every garage-door installer/service company as a distinct trade category. Directory counts therefore differ.</x:v>
      </x:c>
      <x:c r="G23" s="46"/>
      <x:c r="H23" s="46"/>
      <x:c r="I23" s="46"/>
      <x:c r="J23" s="46"/>
      <x:c r="K23" s="46"/>
      <x:c r="L23" s="46"/>
    </x:row>
    <x:row r="24" ht="26" customHeight="1">
      <x:c r="A24" s="54" t="str">
        <x:v>Medium confidence</x:v>
      </x:c>
      <x:c r="B24" s="54" t="n">
        <x:f>COUNTIF('Verified Companies'!K2:K187,"Medium")</x:f>
        <x:v>30</x:v>
      </x:c>
      <x:c r="C24" s="59" t="n">
        <x:f>B24/$G$6</x:f>
        <x:v>0.16129032258064516</x:v>
      </x:c>
      <x:c r="D24" s="54" t="str">
        <x:v>Current business-index result with fewer than 10 reviews.</x:v>
      </x:c>
      <x:c r="E24" s="54"/>
      <x:c r="F24" s="46"/>
      <x:c r="G24" s="46"/>
      <x:c r="H24" s="46"/>
      <x:c r="I24" s="46"/>
      <x:c r="J24" s="46"/>
      <x:c r="K24" s="46"/>
      <x:c r="L24" s="46"/>
    </x:row>
    <x:row r="25" ht="26" customHeight="1">
      <x:c r="A25" s="54" t="str">
        <x:v>Clopay-authorized</x:v>
      </x:c>
      <x:c r="B25" s="54" t="n">
        <x:f>J6</x:f>
        <x:v>57</x:v>
      </x:c>
      <x:c r="C25" s="59" t="n">
        <x:f>B25/$G$6</x:f>
        <x:v>0.3064516129032258</x:v>
      </x:c>
      <x:c r="D25" s="54" t="str">
        <x:v>Manufacturer-authorized Michigan physical location.</x:v>
      </x:c>
      <x:c r="E25" s="54"/>
      <x:c r="F25" s="46" t="str">
        <x:v>Public directories can contain duplicates, branch locations, call-tracking numbers, moved addresses, or stale listings. The row-level list keeps alternate phones/sources where cross-checking exposed differences.</x:v>
      </x:c>
      <x:c r="G25" s="46"/>
      <x:c r="H25" s="46"/>
      <x:c r="I25" s="46"/>
      <x:c r="J25" s="46"/>
      <x:c r="K25" s="46"/>
      <x:c r="L25" s="46"/>
    </x:row>
    <x:row r="26" ht="26" customHeight="1">
      <x:c r="A26" s="54" t="str">
        <x:v>Current business index only</x:v>
      </x:c>
      <x:c r="B26" s="54" t="n">
        <x:f>COUNTIF('Verified Companies'!J2:J187,"Current Business Index")</x:f>
        <x:v>129</x:v>
      </x:c>
      <x:c r="C26" s="59" t="n">
        <x:f>B26/$G$6</x:f>
        <x:v>0.6935483870967742</x:v>
      </x:c>
      <x:c r="D26" s="54" t="str">
        <x:v>Current regional business-index verification; not in Clopay set.</x:v>
      </x:c>
      <x:c r="E26" s="54"/>
      <x:c r="F26" s="46"/>
      <x:c r="G26" s="46"/>
      <x:c r="H26" s="46"/>
      <x:c r="I26" s="46"/>
      <x:c r="J26" s="46"/>
      <x:c r="K26" s="46"/>
      <x:c r="L26" s="46"/>
    </x:row>
    <x:row r="27" ht="26" customHeight="1">
      <x:c r="A27" s="54"/>
      <x:c r="B27" s="54"/>
      <x:c r="C27" s="54"/>
      <x:c r="D27" s="54"/>
      <x:c r="E27" s="54"/>
      <x:c r="F27" s="46" t="str">
        <x:v>Before outreach, verify the current website/ownership/contact person. The Source URL columns are included specifically for that last-mile verification.</x:v>
      </x:c>
      <x:c r="G27" s="46"/>
      <x:c r="H27" s="46"/>
      <x:c r="I27" s="46"/>
      <x:c r="J27" s="46"/>
      <x:c r="K27" s="46"/>
      <x:c r="L27" s="46"/>
    </x:row>
    <x:row r="28" ht="26" customHeight="1">
      <x:c r="A28" s="54"/>
      <x:c r="B28" s="54"/>
      <x:c r="C28" s="54"/>
      <x:c r="D28" s="54"/>
      <x:c r="E28" s="54"/>
      <x:c r="F28" s="46"/>
      <x:c r="G28" s="46"/>
      <x:c r="H28" s="46"/>
      <x:c r="I28" s="46"/>
      <x:c r="J28" s="46"/>
      <x:c r="K28" s="46"/>
      <x:c r="L28" s="46"/>
    </x:row>
    <x:row r="29">
      <x:c r="A29" s="54"/>
      <x:c r="B29" s="54"/>
      <x:c r="C29" s="54"/>
      <x:c r="D29" s="54"/>
      <x:c r="E29" s="54"/>
      <x:c r="F29" s="54"/>
      <x:c r="G29" s="54"/>
      <x:c r="H29" s="54"/>
      <x:c r="I29" s="54"/>
      <x:c r="J29" s="54"/>
      <x:c r="K29" s="54"/>
      <x:c r="L29" s="54"/>
    </x:row>
    <x:row r="30">
      <x:c r="A30" s="54"/>
      <x:c r="B30" s="54"/>
      <x:c r="C30" s="54"/>
      <x:c r="D30" s="54"/>
      <x:c r="E30" s="54"/>
      <x:c r="F30" s="54"/>
      <x:c r="G30" s="54"/>
      <x:c r="H30" s="54"/>
      <x:c r="I30" s="54"/>
      <x:c r="J30" s="54"/>
      <x:c r="K30" s="54"/>
      <x:c r="L30" s="54"/>
    </x:row>
    <x:row r="31" ht="22" customHeight="1">
      <x:c r="A31" s="14" t="str">
        <x:v>Benchmark</x:v>
      </x:c>
      <x:c r="B31" s="14" t="str">
        <x:v>Count</x:v>
      </x:c>
    </x:row>
    <x:row r="32" ht="22" customHeight="1">
      <x:c r="A32" t="str">
        <x:v>Rentech statewide listings</x:v>
      </x:c>
      <x:c r="B32" t="n">
        <x:v>539</x:v>
      </x:c>
    </x:row>
    <x:row r="33" ht="22" customHeight="1">
      <x:c r="A33" t="str">
        <x:v>Manta businesses</x:v>
      </x:c>
      <x:c r="B33" t="n">
        <x:v>471</x:v>
      </x:c>
    </x:row>
    <x:row r="34" ht="22" customHeight="1">
      <x:c r="A34" t="str">
        <x:v>Verified workbook rows</x:v>
      </x:c>
      <x:c r="B34" t="n">
        <x:f>G6</x:f>
        <x:v>186</x:v>
      </x:c>
    </x:row>
    <x:row r="35" ht="22" customHeight="1">
      <x:c r="A35" t="str">
        <x:v>Clopay-authorized locations</x:v>
      </x:c>
      <x:c r="B35" t="n">
        <x:f>J6</x:f>
        <x:v>57</x:v>
      </x:c>
    </x:row>
  </x:sheetData>
  <x:mergeCells>
    <x:mergeCell ref="A1:L2"/>
    <x:mergeCell ref="A3:L3"/>
    <x:mergeCell ref="A5:C5"/>
    <x:mergeCell ref="A6:C8"/>
    <x:mergeCell ref="D5:F5"/>
    <x:mergeCell ref="D6:F8"/>
    <x:mergeCell ref="G5:I5"/>
    <x:mergeCell ref="G6:I8"/>
    <x:mergeCell ref="J5:L5"/>
    <x:mergeCell ref="J6:L8"/>
    <x:mergeCell ref="A9:C9"/>
    <x:mergeCell ref="D9:F9"/>
    <x:mergeCell ref="G9:I9"/>
    <x:mergeCell ref="J9:L9"/>
    <x:mergeCell ref="F12:L12"/>
    <x:mergeCell ref="F13:L14"/>
    <x:mergeCell ref="F15:L16"/>
    <x:mergeCell ref="F17:L18"/>
    <x:mergeCell ref="F19:L20"/>
    <x:mergeCell ref="F22:L22"/>
    <x:mergeCell ref="F23:L24"/>
    <x:mergeCell ref="F25:L26"/>
    <x:mergeCell ref="F27:L28"/>
    <x:mergeCell ref="A20:D20"/>
  </x:mergeCells>
  <x:pageMargins left="0.7" right="0.7" top="0.75" bottom="0.75" header="0.3" footer="0.3"/>
  <x:drawing xmlns:r="http://schemas.openxmlformats.org/officeDocument/2006/relationships" r:id="R6301fc9f449a4527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6" hidden="0" customWidth="1"/>
    <x:col min="3" max="3" width="23" hidden="0" customWidth="1"/>
    <x:col min="4" max="4" width="17" hidden="0" customWidth="1"/>
    <x:col min="5" max="5" width="17" hidden="0" customWidth="1"/>
    <x:col min="6" max="6" width="24" hidden="0" customWidth="1"/>
    <x:col min="7" max="7" width="9" hidden="0" customWidth="1"/>
    <x:col min="8" max="8" width="10" hidden="0" customWidth="1"/>
    <x:col min="9" max="9" width="23" hidden="0" customWidth="1"/>
    <x:col min="10" max="10" width="25" hidden="0" customWidth="1"/>
    <x:col min="11" max="11" width="13" hidden="0" customWidth="1"/>
    <x:col min="12" max="12" width="48" hidden="0" customWidth="1"/>
    <x:col min="13" max="13" width="48" hidden="0" customWidth="1"/>
    <x:col min="14" max="14" width="60" hidden="0" customWidth="1"/>
  </x:cols>
  <x:sheetData>
    <x:row r="1" ht="30" customHeight="1">
      <x:c r="A1" s="55" t="str">
        <x:v>Company / Location</x:v>
      </x:c>
      <x:c r="B1" s="55" t="str">
        <x:v>Address</x:v>
      </x:c>
      <x:c r="C1" s="55" t="str">
        <x:v>City</x:v>
      </x:c>
      <x:c r="D1" s="55" t="str">
        <x:v>Primary Phone</x:v>
      </x:c>
      <x:c r="E1" s="55" t="str">
        <x:v>Alternate Phone</x:v>
      </x:c>
      <x:c r="F1" s="55" t="str">
        <x:v>Service</x:v>
      </x:c>
      <x:c r="G1" s="55" t="str">
        <x:v>Rating</x:v>
      </x:c>
      <x:c r="H1" s="55" t="str">
        <x:v>Reviews</x:v>
      </x:c>
      <x:c r="I1" s="55" t="str">
        <x:v>Region Checked</x:v>
      </x:c>
      <x:c r="J1" s="55" t="str">
        <x:v>Source Type</x:v>
      </x:c>
      <x:c r="K1" s="55" t="str">
        <x:v>Confidence</x:v>
      </x:c>
      <x:c r="L1" s="55" t="str">
        <x:v>Source URL</x:v>
      </x:c>
      <x:c r="M1" s="55" t="str">
        <x:v>Secondary Source URL</x:v>
      </x:c>
      <x:c r="N1" s="55" t="str">
        <x:v>Notes</x:v>
      </x:c>
    </x:row>
    <x:row r="2" ht="34" customHeight="1">
      <x:c r="A2" s="74" t="str">
        <x:v>ALMONT DOOR CO</x:v>
      </x:c>
      <x:c r="B2" s="74" t="str">
        <x:v>8200 Hollow Corners Rd, Almont, MI 48003-8145</x:v>
      </x:c>
      <x:c r="C2" s="74" t="str">
        <x:v>Almont</x:v>
      </x:c>
      <x:c r="D2" s="74" t="str">
        <x:v>810-798-2468</x:v>
      </x:c>
      <x:c r="E2" s="74" t="str"/>
      <x:c r="F2" s="74" t="str">
        <x:v>Install + Service/Repair</x:v>
      </x:c>
      <x:c r="G2" s="76"/>
      <x:c r="H2" s="78"/>
      <x:c r="I2" s="74" t="str">
        <x:v>Statewide / Clopay</x:v>
      </x:c>
      <x:c r="J2" s="74" t="str">
        <x:v>Clopay Authorized Dealer</x:v>
      </x:c>
      <x:c r="K2" s="74" t="str">
        <x:v>High</x:v>
      </x:c>
      <x:c r="L2" s="80" t="str">
        <x:v>https://www.clopaydoor.com/dealers/michigan/-page-1-</x:v>
      </x:c>
      <x:c r="M2" s="80" t="str"/>
      <x:c r="N2" s="74" t="str">
        <x:v>Clopay states its Michigan dealers provide new-door installation, time-sensitive repairs and preventive maintenance.</x:v>
      </x:c>
    </x:row>
    <x:row r="3" ht="34" customHeight="1">
      <x:c r="A3" s="74" t="str">
        <x:v>K&amp;R GARAGE DOOR SERVICE</x:v>
      </x:c>
      <x:c r="B3" s="74" t="str">
        <x:v>6944 TALBOT DRIVE, ALMONT, MI 48003</x:v>
      </x:c>
      <x:c r="C3" s="74" t="str">
        <x:v>Almont</x:v>
      </x:c>
      <x:c r="D3" s="74" t="str">
        <x:v>810-798-0596</x:v>
      </x:c>
      <x:c r="E3" s="74" t="str"/>
      <x:c r="F3" s="74" t="str">
        <x:v>Install + Service/Repair</x:v>
      </x:c>
      <x:c r="G3" s="76"/>
      <x:c r="H3" s="78"/>
      <x:c r="I3" s="74" t="str">
        <x:v>Statewide / Clopay</x:v>
      </x:c>
      <x:c r="J3" s="74" t="str">
        <x:v>Clopay Authorized Dealer</x:v>
      </x:c>
      <x:c r="K3" s="74" t="str">
        <x:v>High</x:v>
      </x:c>
      <x:c r="L3" s="80" t="str">
        <x:v>https://www.clopaydoor.com/dealers/michigan/-page-2-</x:v>
      </x:c>
      <x:c r="M3" s="80" t="str"/>
      <x:c r="N3" s="74" t="str">
        <x:v>Clopay states its Michigan dealers provide new-door installation, time-sensitive repairs and preventive maintenance.</x:v>
      </x:c>
    </x:row>
    <x:row r="4" ht="34" customHeight="1">
      <x:c r="A4" s="74" t="str">
        <x:v>Aman Garage Door Repair</x:v>
      </x:c>
      <x:c r="B4" s="74" t="str">
        <x:v>2315 Jonathan Ct, Ann Arbor, MI 48108</x:v>
      </x:c>
      <x:c r="C4" s="74" t="str">
        <x:v>Ann Arbor</x:v>
      </x:c>
      <x:c r="D4" s="74" t="str">
        <x:v>734-579-8440</x:v>
      </x:c>
      <x:c r="E4" s="74" t="str"/>
      <x:c r="F4" s="74" t="str">
        <x:v>Install + Service/Repair</x:v>
      </x:c>
      <x:c r="G4" s="76" t="n">
        <x:v>5</x:v>
      </x:c>
      <x:c r="H4" s="78" t="n">
        <x:v>154</x:v>
      </x:c>
      <x:c r="I4" s="74" t="str">
        <x:v>Ann Arbor / Livingston</x:v>
      </x:c>
      <x:c r="J4" s="74" t="str">
        <x:v>Current Business Index</x:v>
      </x:c>
      <x:c r="K4" s="74" t="str">
        <x:v>High</x:v>
      </x:c>
      <x:c r="L4" s="80" t="str">
        <x:v>https://www.google.com/maps/search/?api=1&amp;query=Aman+Garage+Door+Repair+2315+Jonathan+Ct%2C+Ann+Arbor%2C+MI+48108+Michigan</x:v>
      </x:c>
      <x:c r="M4" s="80" t="str"/>
      <x:c r="N4" s="74" t="str">
        <x:v>Current 2026 business-index result explicitly describes repair and installation capability.</x:v>
      </x:c>
    </x:row>
    <x:row r="5" ht="34" customHeight="1">
      <x:c r="A5" s="74" t="str">
        <x:v>Ann Arbor Door Systems</x:v>
      </x:c>
      <x:c r="B5" s="74" t="str">
        <x:v>2200 S Industrial Hwy Ste E, Ann Arbor, MI 48104</x:v>
      </x:c>
      <x:c r="C5" s="74" t="str">
        <x:v>Ann Arbor</x:v>
      </x:c>
      <x:c r="D5" s="74" t="str">
        <x:v>734-954-4278</x:v>
      </x:c>
      <x:c r="E5" s="74" t="str"/>
      <x:c r="F5" s="74" t="str">
        <x:v>Install + Service/Repair</x:v>
      </x:c>
      <x:c r="G5" s="76" t="n">
        <x:v>4.3</x:v>
      </x:c>
      <x:c r="H5" s="78" t="n">
        <x:v>48</x:v>
      </x:c>
      <x:c r="I5" s="74" t="str">
        <x:v>Ann Arbor / Livingston</x:v>
      </x:c>
      <x:c r="J5" s="74" t="str">
        <x:v>Current Business Index</x:v>
      </x:c>
      <x:c r="K5" s="74" t="str">
        <x:v>High</x:v>
      </x:c>
      <x:c r="L5" s="80" t="str">
        <x:v>https://www.google.com/maps/search/?api=1&amp;query=Ann+Arbor+Door+Systems+2200+S+Industrial+Hwy+Ste+E%2C+Ann+Arbor%2C+MI+48104+Michigan</x:v>
      </x:c>
      <x:c r="M5" s="80" t="str"/>
      <x:c r="N5" s="74" t="str">
        <x:v>Current 2026 business-index result explicitly describes repair and installation capability.</x:v>
      </x:c>
    </x:row>
    <x:row r="6" ht="34" customHeight="1">
      <x:c r="A6" s="74" t="str">
        <x:v>Blitz Garage Door Repair</x:v>
      </x:c>
      <x:c r="B6" s="74" t="str">
        <x:v>326-330 S State St #208, Ann Arbor, MI 48104</x:v>
      </x:c>
      <x:c r="C6" s="74" t="str">
        <x:v>Ann Arbor</x:v>
      </x:c>
      <x:c r="D6" s="74" t="str">
        <x:v>313-479-2092</x:v>
      </x:c>
      <x:c r="E6" s="74" t="str"/>
      <x:c r="F6" s="74" t="str">
        <x:v>Install + Service/Repair</x:v>
      </x:c>
      <x:c r="G6" s="76" t="n">
        <x:v>4.9</x:v>
      </x:c>
      <x:c r="H6" s="78" t="n">
        <x:v>210</x:v>
      </x:c>
      <x:c r="I6" s="74" t="str">
        <x:v>Ann Arbor / Livingston</x:v>
      </x:c>
      <x:c r="J6" s="74" t="str">
        <x:v>Current Business Index</x:v>
      </x:c>
      <x:c r="K6" s="74" t="str">
        <x:v>High</x:v>
      </x:c>
      <x:c r="L6" s="80" t="str">
        <x:v>https://www.google.com/maps/search/?api=1&amp;query=Blitz+Garage+Door+Repair+326-330+S+State+St+%23208%2C+Ann+Arbor%2C+MI+48104+Michigan</x:v>
      </x:c>
      <x:c r="M6" s="80" t="str"/>
      <x:c r="N6" s="74" t="str">
        <x:v>Current 2026 business-index result explicitly describes repair and installation capability.</x:v>
      </x:c>
    </x:row>
    <x:row r="7" ht="34" customHeight="1">
      <x:c r="A7" s="74" t="str">
        <x:v>Garage Door Pros</x:v>
      </x:c>
      <x:c r="B7" s="74" t="str">
        <x:v>3864 Trade Center Dr, Ann Arbor, MI 48108</x:v>
      </x:c>
      <x:c r="C7" s="74" t="str">
        <x:v>Ann Arbor</x:v>
      </x:c>
      <x:c r="D7" s="74" t="str">
        <x:v>734-436-2042</x:v>
      </x:c>
      <x:c r="E7" s="74" t="str"/>
      <x:c r="F7" s="74" t="str">
        <x:v>Install + Service/Repair</x:v>
      </x:c>
      <x:c r="G7" s="76" t="n">
        <x:v>4.5</x:v>
      </x:c>
      <x:c r="H7" s="78" t="n">
        <x:v>52</x:v>
      </x:c>
      <x:c r="I7" s="74" t="str">
        <x:v>Ann Arbor / Livingston</x:v>
      </x:c>
      <x:c r="J7" s="74" t="str">
        <x:v>Current Business Index</x:v>
      </x:c>
      <x:c r="K7" s="74" t="str">
        <x:v>High</x:v>
      </x:c>
      <x:c r="L7" s="80" t="str">
        <x:v>https://www.google.com/maps/search/?api=1&amp;query=Garage+Door+Pros+3864+Trade+Center+Dr%2C+Ann+Arbor%2C+MI+48108+Michigan</x:v>
      </x:c>
      <x:c r="M7" s="80" t="str"/>
      <x:c r="N7" s="74" t="str">
        <x:v>Current 2026 business-index result explicitly describes repair and installation capability.</x:v>
      </x:c>
    </x:row>
    <x:row r="8" ht="34" customHeight="1">
      <x:c r="A8" s="74" t="str">
        <x:v>Overhead Door Company of Ann Arbor</x:v>
      </x:c>
      <x:c r="B8" s="74" t="str">
        <x:v>834 Phoenix Dr Ste A, Ann Arbor, MI 48108</x:v>
      </x:c>
      <x:c r="C8" s="74" t="str">
        <x:v>Ann Arbor</x:v>
      </x:c>
      <x:c r="D8" s="74" t="str">
        <x:v>734-492-1616</x:v>
      </x:c>
      <x:c r="E8" s="74" t="str"/>
      <x:c r="F8" s="74" t="str">
        <x:v>Install + Service/Repair</x:v>
      </x:c>
      <x:c r="G8" s="76" t="n">
        <x:v>5</x:v>
      </x:c>
      <x:c r="H8" s="78" t="n">
        <x:v>1</x:v>
      </x:c>
      <x:c r="I8" s="74" t="str">
        <x:v>Ann Arbor / Livingston</x:v>
      </x:c>
      <x:c r="J8" s="74" t="str">
        <x:v>Current Business Index</x:v>
      </x:c>
      <x:c r="K8" s="74" t="str">
        <x:v>Medium</x:v>
      </x:c>
      <x:c r="L8" s="80" t="str">
        <x:v>https://www.google.com/maps/search/?api=1&amp;query=Overhead+Door+Company+of+Ann+Arbor+834+Phoenix+Dr+Ste+A%2C+Ann+Arbor%2C+MI+48108+Michigan</x:v>
      </x:c>
      <x:c r="M8" s="80" t="str"/>
      <x:c r="N8" s="74" t="str">
        <x:v>Current 2026 business-index result explicitly describes repair and installation capability.</x:v>
      </x:c>
    </x:row>
    <x:row r="9" ht="34" customHeight="1">
      <x:c r="A9" s="74" t="str">
        <x:v>Precision Garage Door of Southeast Michigan</x:v>
      </x:c>
      <x:c r="B9" s="74" t="str">
        <x:v>3300 Washtenaw Ave Ste 295, Ann Arbor, MI 48104</x:v>
      </x:c>
      <x:c r="C9" s="74" t="str">
        <x:v>Ann Arbor</x:v>
      </x:c>
      <x:c r="D9" s="74" t="str">
        <x:v>734-224-5537</x:v>
      </x:c>
      <x:c r="E9" s="74" t="str"/>
      <x:c r="F9" s="74" t="str">
        <x:v>Install + Service/Repair</x:v>
      </x:c>
      <x:c r="G9" s="76" t="n">
        <x:v>4.9</x:v>
      </x:c>
      <x:c r="H9" s="78" t="n">
        <x:v>190</x:v>
      </x:c>
      <x:c r="I9" s="74" t="str">
        <x:v>Ann Arbor / Livingston</x:v>
      </x:c>
      <x:c r="J9" s="74" t="str">
        <x:v>Current Business Index</x:v>
      </x:c>
      <x:c r="K9" s="74" t="str">
        <x:v>High</x:v>
      </x:c>
      <x:c r="L9" s="80" t="str">
        <x:v>https://www.google.com/maps/search/?api=1&amp;query=Precision+Garage+Door+of+Southeast+Michigan+3300+Washtenaw+Ave+Ste+295%2C+Ann+Arbor%2C+MI+48104+Michigan</x:v>
      </x:c>
      <x:c r="M9" s="80" t="str"/>
      <x:c r="N9" s="74" t="str">
        <x:v>Current 2026 business-index result explicitly describes repair and installation capability.</x:v>
      </x:c>
    </x:row>
    <x:row r="10" ht="34" customHeight="1">
      <x:c r="A10" s="74" t="str">
        <x:v>Up And Down Door Co</x:v>
      </x:c>
      <x:c r="B10" s="74" t="str">
        <x:v>3588 Plymouth Rd, Ann Arbor, MI 48105</x:v>
      </x:c>
      <x:c r="C10" s="74" t="str">
        <x:v>Ann Arbor</x:v>
      </x:c>
      <x:c r="D10" s="74" t="str">
        <x:v>734-419-3777</x:v>
      </x:c>
      <x:c r="E10" s="74" t="str"/>
      <x:c r="F10" s="74" t="str">
        <x:v>Install + Service/Repair</x:v>
      </x:c>
      <x:c r="G10" s="76" t="n">
        <x:v>5</x:v>
      </x:c>
      <x:c r="H10" s="78" t="n">
        <x:v>13</x:v>
      </x:c>
      <x:c r="I10" s="74" t="str">
        <x:v>Ann Arbor / Livingston</x:v>
      </x:c>
      <x:c r="J10" s="74" t="str">
        <x:v>Current Business Index</x:v>
      </x:c>
      <x:c r="K10" s="74" t="str">
        <x:v>High</x:v>
      </x:c>
      <x:c r="L10" s="80" t="str">
        <x:v>https://www.google.com/maps/search/?api=1&amp;query=Up+And+Down+Door+Co+3588+Plymouth+Rd%2C+Ann+Arbor%2C+MI+48105+Michigan</x:v>
      </x:c>
      <x:c r="M10" s="80" t="str"/>
      <x:c r="N10" s="74" t="str">
        <x:v>Current 2026 business-index result explicitly describes repair and installation capability.</x:v>
      </x:c>
    </x:row>
    <x:row r="11" ht="34" customHeight="1">
      <x:c r="A11" s="74" t="str">
        <x:v>Attica Overhead Door</x:v>
      </x:c>
      <x:c r="B11" s="74" t="str">
        <x:v>5161 Lum Rd, Attica, MI 48412</x:v>
      </x:c>
      <x:c r="C11" s="74" t="str">
        <x:v>Attica</x:v>
      </x:c>
      <x:c r="D11" s="74" t="str">
        <x:v>810-683-4098</x:v>
      </x:c>
      <x:c r="E11" s="74" t="str"/>
      <x:c r="F11" s="74" t="str">
        <x:v>Install + Service/Repair</x:v>
      </x:c>
      <x:c r="G11" s="76" t="n">
        <x:v>4.9</x:v>
      </x:c>
      <x:c r="H11" s="78" t="n">
        <x:v>32</x:v>
      </x:c>
      <x:c r="I11" s="74" t="str">
        <x:v>Flint / Genesee / Lapeer</x:v>
      </x:c>
      <x:c r="J11" s="74" t="str">
        <x:v>Current Business Index</x:v>
      </x:c>
      <x:c r="K11" s="74" t="str">
        <x:v>High</x:v>
      </x:c>
      <x:c r="L11" s="80" t="str">
        <x:v>https://www.google.com/maps/search/?api=1&amp;query=Attica+Overhead+Door+5161+Lum+Rd%2C+Attica%2C+MI+48412+Michigan</x:v>
      </x:c>
      <x:c r="M11" s="80" t="str"/>
      <x:c r="N11" s="74" t="str">
        <x:v>Current 2026 business-index result explicitly describes repair and installation capability.</x:v>
      </x:c>
    </x:row>
    <x:row r="12" ht="34" customHeight="1">
      <x:c r="A12" s="74" t="str">
        <x:v>D&amp;L Garage Door</x:v>
      </x:c>
      <x:c r="B12" s="74" t="str">
        <x:v>5251 9th Mile Rd, Auburn, MI 48611</x:v>
      </x:c>
      <x:c r="C12" s="74" t="str">
        <x:v>Auburn</x:v>
      </x:c>
      <x:c r="D12" s="74" t="str">
        <x:v>989-239-2586</x:v>
      </x:c>
      <x:c r="E12" s="74" t="str"/>
      <x:c r="F12" s="74" t="str">
        <x:v>Install + Service/Repair</x:v>
      </x:c>
      <x:c r="G12" s="76" t="n">
        <x:v>5</x:v>
      </x:c>
      <x:c r="H12" s="78" t="n">
        <x:v>1</x:v>
      </x:c>
      <x:c r="I12" s="74" t="str">
        <x:v>Saginaw / Great Lakes Bay</x:v>
      </x:c>
      <x:c r="J12" s="74" t="str">
        <x:v>Current Business Index</x:v>
      </x:c>
      <x:c r="K12" s="74" t="str">
        <x:v>Medium</x:v>
      </x:c>
      <x:c r="L12" s="80" t="str">
        <x:v>https://www.google.com/maps/search/?api=1&amp;query=D%26L+Garage+Door+5251+9th+Mile+Rd%2C+Auburn%2C+MI+48611+Michigan</x:v>
      </x:c>
      <x:c r="M12" s="80" t="str"/>
      <x:c r="N12" s="74" t="str">
        <x:v>Current 2026 business-index result explicitly describes repair and installation capability.</x:v>
      </x:c>
    </x:row>
    <x:row r="13" ht="34" customHeight="1">
      <x:c r="A13" s="74" t="str">
        <x:v>AM DOOR</x:v>
      </x:c>
      <x:c r="B13" s="74" t="str">
        <x:v>9210 IMLAY CITY ROAD, AVOCA, MI 48006-3516</x:v>
      </x:c>
      <x:c r="C13" s="74" t="str">
        <x:v>Avoca</x:v>
      </x:c>
      <x:c r="D13" s="74" t="str">
        <x:v>810-531-0922</x:v>
      </x:c>
      <x:c r="E13" s="74" t="str"/>
      <x:c r="F13" s="74" t="str">
        <x:v>Install + Service/Repair</x:v>
      </x:c>
      <x:c r="G13" s="76"/>
      <x:c r="H13" s="78"/>
      <x:c r="I13" s="74" t="str">
        <x:v>Statewide / Clopay</x:v>
      </x:c>
      <x:c r="J13" s="74" t="str">
        <x:v>Clopay Authorized Dealer</x:v>
      </x:c>
      <x:c r="K13" s="74" t="str">
        <x:v>High</x:v>
      </x:c>
      <x:c r="L13" s="80" t="str">
        <x:v>https://www.clopaydoor.com/dealers/michigan/-page-1-</x:v>
      </x:c>
      <x:c r="M13" s="80" t="str"/>
      <x:c r="N13" s="74" t="str">
        <x:v>Clopay states its Michigan dealers provide new-door installation, time-sensitive repairs and preventive maintenance.</x:v>
      </x:c>
    </x:row>
    <x:row r="14" ht="34" customHeight="1">
      <x:c r="A14" s="74" t="str">
        <x:v>Delta Door</x:v>
      </x:c>
      <x:c r="B14" s="74" t="str">
        <x:v>4341 K Rd, Bark River, MI 49807-9619</x:v>
      </x:c>
      <x:c r="C14" s="74" t="str">
        <x:v>Bark River</x:v>
      </x:c>
      <x:c r="D14" s="74" t="str">
        <x:v>906-241-5357</x:v>
      </x:c>
      <x:c r="E14" s="74" t="str"/>
      <x:c r="F14" s="74" t="str">
        <x:v>Install + Service/Repair</x:v>
      </x:c>
      <x:c r="G14" s="76"/>
      <x:c r="H14" s="78"/>
      <x:c r="I14" s="74" t="str">
        <x:v>Statewide / Clopay</x:v>
      </x:c>
      <x:c r="J14" s="74" t="str">
        <x:v>Clopay Authorized Dealer</x:v>
      </x:c>
      <x:c r="K14" s="74" t="str">
        <x:v>High</x:v>
      </x:c>
      <x:c r="L14" s="80" t="str">
        <x:v>https://www.clopaydoor.com/dealers/michigan/-page-1-</x:v>
      </x:c>
      <x:c r="M14" s="80" t="str"/>
      <x:c r="N14" s="74" t="str">
        <x:v>Clopay states its Michigan dealers provide new-door installation, time-sensitive repairs and preventive maintenance.</x:v>
      </x:c>
    </x:row>
    <x:row r="15" ht="34" customHeight="1">
      <x:c r="A15" s="74" t="str">
        <x:v>Derek's Garage Door Sales &amp; Service LLC</x:v>
      </x:c>
      <x:c r="B15" s="74" t="str">
        <x:v>13770 STONE JUG RD, BATTLE CREEK, MI 49015-8622</x:v>
      </x:c>
      <x:c r="C15" s="74" t="str">
        <x:v>Battle Creek</x:v>
      </x:c>
      <x:c r="D15" s="74" t="str">
        <x:v>269-419-9476</x:v>
      </x:c>
      <x:c r="E15" s="74" t="str"/>
      <x:c r="F15" s="74" t="str">
        <x:v>Install + Service/Repair</x:v>
      </x:c>
      <x:c r="G15" s="76"/>
      <x:c r="H15" s="78"/>
      <x:c r="I15" s="74" t="str">
        <x:v>Statewide / Clopay</x:v>
      </x:c>
      <x:c r="J15" s="74" t="str">
        <x:v>Clopay Authorized Dealer</x:v>
      </x:c>
      <x:c r="K15" s="74" t="str">
        <x:v>High</x:v>
      </x:c>
      <x:c r="L15" s="80" t="str">
        <x:v>https://www.clopaydoor.com/dealers/michigan/-page-1-</x:v>
      </x:c>
      <x:c r="M15" s="80" t="str"/>
      <x:c r="N15" s="74" t="str">
        <x:v>Clopay states its Michigan dealers provide new-door installation, time-sensitive repairs and preventive maintenance.</x:v>
      </x:c>
    </x:row>
    <x:row r="16" ht="34" customHeight="1">
      <x:c r="A16" s="74" t="str">
        <x:v>DOOR TEQ garage door service</x:v>
      </x:c>
      <x:c r="B16" s="74" t="str">
        <x:v>2815 W Kirby Rd, Battle Creek, MI 49017</x:v>
      </x:c>
      <x:c r="C16" s="74" t="str">
        <x:v>Battle Creek</x:v>
      </x:c>
      <x:c r="D16" s="74" t="str">
        <x:v>269-420-1067</x:v>
      </x:c>
      <x:c r="E16" s="74" t="str"/>
      <x:c r="F16" s="74" t="str">
        <x:v>Install + Service/Repair</x:v>
      </x:c>
      <x:c r="G16" s="76" t="n">
        <x:v>5</x:v>
      </x:c>
      <x:c r="H16" s="78" t="n">
        <x:v>60</x:v>
      </x:c>
      <x:c r="I16" s="74" t="str">
        <x:v>Kalamazoo / Southwest Michigan</x:v>
      </x:c>
      <x:c r="J16" s="74" t="str">
        <x:v>Current Business Index</x:v>
      </x:c>
      <x:c r="K16" s="74" t="str">
        <x:v>High</x:v>
      </x:c>
      <x:c r="L16" s="80" t="str">
        <x:v>https://www.google.com/maps/search/?api=1&amp;query=DOOR+TEQ+garage+door+service+2815+W+Kirby+Rd%2C+Battle+Creek%2C+MI+49017+Michigan</x:v>
      </x:c>
      <x:c r="M16" s="80" t="str"/>
      <x:c r="N16" s="74" t="str">
        <x:v>Current 2026 business-index result explicitly describes repair and installation capability.</x:v>
      </x:c>
    </x:row>
    <x:row r="17" ht="34" customHeight="1">
      <x:c r="A17" s="74" t="str">
        <x:v>Garage Doors Unlimited Inc - Battle Creek</x:v>
      </x:c>
      <x:c r="B17" s="74" t="str">
        <x:v>12200 E MICHIGAN AVENUE, BATTLE CREEK, MI 49014-7991</x:v>
      </x:c>
      <x:c r="C17" s="74" t="str">
        <x:v>Battle Creek</x:v>
      </x:c>
      <x:c r="D17" s="74" t="str">
        <x:v>269-962-5502</x:v>
      </x:c>
      <x:c r="E17" s="74" t="str"/>
      <x:c r="F17" s="74" t="str">
        <x:v>Install + Service/Repair</x:v>
      </x:c>
      <x:c r="G17" s="76"/>
      <x:c r="H17" s="78"/>
      <x:c r="I17" s="74" t="str">
        <x:v>Statewide / Clopay</x:v>
      </x:c>
      <x:c r="J17" s="74" t="str">
        <x:v>Clopay Authorized Dealer</x:v>
      </x:c>
      <x:c r="K17" s="74" t="str">
        <x:v>High</x:v>
      </x:c>
      <x:c r="L17" s="80" t="str">
        <x:v>https://www.clopaydoor.com/dealers/michigan/-page-2-</x:v>
      </x:c>
      <x:c r="M17" s="80" t="str"/>
      <x:c r="N17" s="74" t="str">
        <x:v>Clopay states its Michigan dealers provide new-door installation, time-sensitive repairs and preventive maintenance.</x:v>
      </x:c>
    </x:row>
    <x:row r="18" ht="34" customHeight="1">
      <x:c r="A18" s="74" t="str">
        <x:v>Overhead Door Company of Battle Creek</x:v>
      </x:c>
      <x:c r="B18" s="74" t="str">
        <x:v>4407 W Columbia Ave, Battle Creek, MI 49015</x:v>
      </x:c>
      <x:c r="C18" s="74" t="str">
        <x:v>Battle Creek</x:v>
      </x:c>
      <x:c r="D18" s="74" t="str">
        <x:v>269-962-3141</x:v>
      </x:c>
      <x:c r="E18" s="74" t="str"/>
      <x:c r="F18" s="74" t="str">
        <x:v>Install + Service/Repair</x:v>
      </x:c>
      <x:c r="G18" s="76" t="n">
        <x:v>4.9</x:v>
      </x:c>
      <x:c r="H18" s="78" t="n">
        <x:v>156</x:v>
      </x:c>
      <x:c r="I18" s="74" t="str">
        <x:v>Kalamazoo / Southwest Michigan</x:v>
      </x:c>
      <x:c r="J18" s="74" t="str">
        <x:v>Current Business Index</x:v>
      </x:c>
      <x:c r="K18" s="74" t="str">
        <x:v>High</x:v>
      </x:c>
      <x:c r="L18" s="80" t="str">
        <x:v>https://www.google.com/maps/search/?api=1&amp;query=Overhead+Door+Company+of+Battle+Creek+4407+W+Columbia+Ave%2C+Battle+Creek%2C+MI+49015+Michigan</x:v>
      </x:c>
      <x:c r="M18" s="80" t="str"/>
      <x:c r="N18" s="74" t="str">
        <x:v>Current 2026 business-index result explicitly describes repair and installation capability.</x:v>
      </x:c>
    </x:row>
    <x:row r="19" ht="34" customHeight="1">
      <x:c r="A19" s="74" t="str">
        <x:v>M&amp;R GARAGE DOORS &amp; OPENERS</x:v>
      </x:c>
      <x:c r="B19" s="74" t="str">
        <x:v>2638 22nd Street, Bay City, MI 48708-7614</x:v>
      </x:c>
      <x:c r="C19" s="74" t="str">
        <x:v>Bay City</x:v>
      </x:c>
      <x:c r="D19" s="74" t="str">
        <x:v>989-894-0971</x:v>
      </x:c>
      <x:c r="E19" s="74" t="str"/>
      <x:c r="F19" s="74" t="str">
        <x:v>Install + Service/Repair</x:v>
      </x:c>
      <x:c r="G19" s="76"/>
      <x:c r="H19" s="78"/>
      <x:c r="I19" s="74" t="str">
        <x:v>Statewide / Clopay</x:v>
      </x:c>
      <x:c r="J19" s="74" t="str">
        <x:v>Clopay Authorized Dealer</x:v>
      </x:c>
      <x:c r="K19" s="74" t="str">
        <x:v>High</x:v>
      </x:c>
      <x:c r="L19" s="80" t="str">
        <x:v>https://www.clopaydoor.com/dealers/michigan/-page-2-</x:v>
      </x:c>
      <x:c r="M19" s="80" t="str"/>
      <x:c r="N19" s="74" t="str">
        <x:v>Clopay states its Michigan dealers provide new-door installation, time-sensitive repairs and preventive maintenance.</x:v>
      </x:c>
    </x:row>
    <x:row r="20" ht="34" customHeight="1">
      <x:c r="A20" s="74" t="str">
        <x:v>Mid Michigan Garage Door - Bay City</x:v>
      </x:c>
      <x:c r="B20" s="74" t="str">
        <x:v>509 Center Ave Ste 211, Bay City, MI 48708</x:v>
      </x:c>
      <x:c r="C20" s="74" t="str">
        <x:v>Bay City</x:v>
      </x:c>
      <x:c r="D20" s="74" t="str">
        <x:v>989-282-3667</x:v>
      </x:c>
      <x:c r="E20" s="74" t="str"/>
      <x:c r="F20" s="74" t="str">
        <x:v>Install + Service/Repair</x:v>
      </x:c>
      <x:c r="G20" s="76" t="n">
        <x:v>5</x:v>
      </x:c>
      <x:c r="H20" s="78" t="n">
        <x:v>409</x:v>
      </x:c>
      <x:c r="I20" s="74" t="str">
        <x:v>Saginaw / Great Lakes Bay</x:v>
      </x:c>
      <x:c r="J20" s="74" t="str">
        <x:v>Current Business Index</x:v>
      </x:c>
      <x:c r="K20" s="74" t="str">
        <x:v>High</x:v>
      </x:c>
      <x:c r="L20" s="80" t="str">
        <x:v>https://www.google.com/maps/search/?api=1&amp;query=Mid+Michigan+Garage+Door+-+Bay+City+509+Center+Ave+Ste+211%2C+Bay+City%2C+MI+48708+Michigan</x:v>
      </x:c>
      <x:c r="M20" s="80" t="str"/>
      <x:c r="N20" s="74" t="str">
        <x:v>Current 2026 business-index result explicitly describes repair and installation capability.</x:v>
      </x:c>
    </x:row>
    <x:row r="21" ht="34" customHeight="1">
      <x:c r="A21" s="74" t="str">
        <x:v>Northwest Garage Door</x:v>
      </x:c>
      <x:c r="B21" s="74" t="str"/>
      <x:c r="C21" s="74" t="str">
        <x:v>Boyne City</x:v>
      </x:c>
      <x:c r="D21" s="74" t="str">
        <x:v>231-330-5269</x:v>
      </x:c>
      <x:c r="E21" s="74" t="str"/>
      <x:c r="F21" s="74" t="str">
        <x:v>Install + Service/Repair</x:v>
      </x:c>
      <x:c r="G21" s="76" t="n">
        <x:v>4.7</x:v>
      </x:c>
      <x:c r="H21" s="78" t="n">
        <x:v>13</x:v>
      </x:c>
      <x:c r="I21" s="74" t="str">
        <x:v>Traverse City / Northern Michigan</x:v>
      </x:c>
      <x:c r="J21" s="74" t="str">
        <x:v>Current Business Index</x:v>
      </x:c>
      <x:c r="K21" s="74" t="str">
        <x:v>High</x:v>
      </x:c>
      <x:c r="L21" s="80" t="str">
        <x:v>https://www.google.com/maps/search/?api=1&amp;query=Northwest+Garage+Door+Boyne+City+Michigan</x:v>
      </x:c>
      <x:c r="M21" s="80" t="str"/>
      <x:c r="N21" s="74" t="str">
        <x:v>Current 2026 business-index result explicitly describes repair and installation capability.</x:v>
      </x:c>
    </x:row>
    <x:row r="22" ht="34" customHeight="1">
      <x:c r="A22" s="74" t="str">
        <x:v>Empire Garage Door &amp; Repair LLC</x:v>
      </x:c>
      <x:c r="B22" s="74" t="str">
        <x:v>3152 Sandpoint Dr, Brighton, MI 48114</x:v>
      </x:c>
      <x:c r="C22" s="74" t="str">
        <x:v>Brighton</x:v>
      </x:c>
      <x:c r="D22" s="74" t="str">
        <x:v>248-667-2325</x:v>
      </x:c>
      <x:c r="E22" s="74" t="str"/>
      <x:c r="F22" s="74" t="str">
        <x:v>Install + Service/Repair</x:v>
      </x:c>
      <x:c r="G22" s="76" t="n">
        <x:v>5</x:v>
      </x:c>
      <x:c r="H22" s="78" t="n">
        <x:v>533</x:v>
      </x:c>
      <x:c r="I22" s="74" t="str">
        <x:v>Ann Arbor / Livingston</x:v>
      </x:c>
      <x:c r="J22" s="74" t="str">
        <x:v>Current Business Index</x:v>
      </x:c>
      <x:c r="K22" s="74" t="str">
        <x:v>High</x:v>
      </x:c>
      <x:c r="L22" s="80" t="str">
        <x:v>https://www.google.com/maps/search/?api=1&amp;query=Empire+Garage+Door+%26+Repair+LLC+3152+Sandpoint+Dr%2C+Brighton%2C+MI+48114+Michigan</x:v>
      </x:c>
      <x:c r="M22" s="80" t="str"/>
      <x:c r="N22" s="74" t="str">
        <x:v>Current 2026 business-index result explicitly describes repair and installation capability.</x:v>
      </x:c>
    </x:row>
    <x:row r="23" ht="34" customHeight="1">
      <x:c r="A23" s="74" t="str">
        <x:v>Expert Garage Door Repair LLC</x:v>
      </x:c>
      <x:c r="B23" s="74" t="str"/>
      <x:c r="C23" s="74" t="str">
        <x:v>Brighton</x:v>
      </x:c>
      <x:c r="D23" s="74" t="str">
        <x:v>248-826-5998</x:v>
      </x:c>
      <x:c r="E23" s="74" t="str"/>
      <x:c r="F23" s="74" t="str">
        <x:v>Install + Service/Repair</x:v>
      </x:c>
      <x:c r="G23" s="76" t="n">
        <x:v>4.9</x:v>
      </x:c>
      <x:c r="H23" s="78" t="n">
        <x:v>279</x:v>
      </x:c>
      <x:c r="I23" s="74" t="str">
        <x:v>Detroit / Southeast Michigan</x:v>
      </x:c>
      <x:c r="J23" s="74" t="str">
        <x:v>Current Business Index</x:v>
      </x:c>
      <x:c r="K23" s="74" t="str">
        <x:v>High</x:v>
      </x:c>
      <x:c r="L23" s="80" t="str">
        <x:v>https://www.google.com/maps/search/?api=1&amp;query=Expert+Garage+Door+Repair+LLC+Brighton+Michigan</x:v>
      </x:c>
      <x:c r="M23" s="80" t="str"/>
      <x:c r="N23" s="74" t="str">
        <x:v>Current 2026 business-index result explicitly describes repair and installation capability.</x:v>
      </x:c>
    </x:row>
    <x:row r="24" ht="34" customHeight="1">
      <x:c r="A24" s="74" t="str">
        <x:v>Garage Door Pros</x:v>
      </x:c>
      <x:c r="B24" s="74" t="str">
        <x:v>818 W Grand River Ave, Brighton, MI 48116</x:v>
      </x:c>
      <x:c r="C24" s="74" t="str">
        <x:v>Brighton</x:v>
      </x:c>
      <x:c r="D24" s="74" t="str">
        <x:v>810-206-1997</x:v>
      </x:c>
      <x:c r="E24" s="74" t="str"/>
      <x:c r="F24" s="74" t="str">
        <x:v>Install + Service/Repair</x:v>
      </x:c>
      <x:c r="G24" s="76" t="n">
        <x:v>5</x:v>
      </x:c>
      <x:c r="H24" s="78" t="n">
        <x:v>432</x:v>
      </x:c>
      <x:c r="I24" s="74" t="str">
        <x:v>Ann Arbor / Livingston</x:v>
      </x:c>
      <x:c r="J24" s="74" t="str">
        <x:v>Current Business Index</x:v>
      </x:c>
      <x:c r="K24" s="74" t="str">
        <x:v>High</x:v>
      </x:c>
      <x:c r="L24" s="80" t="str">
        <x:v>https://www.google.com/maps/search/?api=1&amp;query=Garage+Door+Pros+818+W+Grand+River+Ave%2C+Brighton%2C+MI+48116+Michigan</x:v>
      </x:c>
      <x:c r="M24" s="80" t="str"/>
      <x:c r="N24" s="74" t="str">
        <x:v>Current 2026 business-index result explicitly describes repair and installation capability.</x:v>
      </x:c>
    </x:row>
    <x:row r="25" ht="34" customHeight="1">
      <x:c r="A25" s="74" t="str">
        <x:v>Complete Garage Doors LLC</x:v>
      </x:c>
      <x:c r="B25" s="74" t="str">
        <x:v>550 76th St SW, Byron Center, MI 49315</x:v>
      </x:c>
      <x:c r="C25" s="74" t="str">
        <x:v>Byron Center</x:v>
      </x:c>
      <x:c r="D25" s="74" t="str">
        <x:v>616-916-4362</x:v>
      </x:c>
      <x:c r="E25" s="74" t="str"/>
      <x:c r="F25" s="74" t="str">
        <x:v>Install + Service/Repair</x:v>
      </x:c>
      <x:c r="G25" s="76" t="n">
        <x:v>5</x:v>
      </x:c>
      <x:c r="H25" s="78" t="n">
        <x:v>169</x:v>
      </x:c>
      <x:c r="I25" s="74" t="str">
        <x:v>Grand Rapids / West Michigan</x:v>
      </x:c>
      <x:c r="J25" s="74" t="str">
        <x:v>Current Business Index</x:v>
      </x:c>
      <x:c r="K25" s="74" t="str">
        <x:v>High</x:v>
      </x:c>
      <x:c r="L25" s="80" t="str">
        <x:v>https://www.google.com/maps/search/?api=1&amp;query=Complete+Garage+Doors+LLC+550+76th+St+SW%2C+Byron+Center%2C+MI+49315+Michigan</x:v>
      </x:c>
      <x:c r="M25" s="80" t="str"/>
      <x:c r="N25" s="74" t="str">
        <x:v>Current 2026 business-index result explicitly describes repair and installation capability.</x:v>
      </x:c>
    </x:row>
    <x:row r="26" ht="34" customHeight="1">
      <x:c r="A26" s="74" t="str">
        <x:v>Sam's Garage Door Services</x:v>
      </x:c>
      <x:c r="B26" s="74" t="str">
        <x:v>5840 N Canton Center Rd Ste 297, Canton Township, MI 48187</x:v>
      </x:c>
      <x:c r="C26" s="74" t="str">
        <x:v>Canton Township</x:v>
      </x:c>
      <x:c r="D26" s="74" t="str">
        <x:v>734-221-0620</x:v>
      </x:c>
      <x:c r="E26" s="74" t="str"/>
      <x:c r="F26" s="74" t="str">
        <x:v>Install + Service/Repair</x:v>
      </x:c>
      <x:c r="G26" s="76" t="n">
        <x:v>4.9</x:v>
      </x:c>
      <x:c r="H26" s="78" t="n">
        <x:v>278</x:v>
      </x:c>
      <x:c r="I26" s="74" t="str">
        <x:v>Detroit / Southeast Michigan</x:v>
      </x:c>
      <x:c r="J26" s="74" t="str">
        <x:v>Current Business Index</x:v>
      </x:c>
      <x:c r="K26" s="74" t="str">
        <x:v>High</x:v>
      </x:c>
      <x:c r="L26" s="80" t="str">
        <x:v>https://www.google.com/maps/search/?api=1&amp;query=Sam%27s+Garage+Door+Services+5840+N+Canton+Center+Rd+Ste+297%2C+Canton+Township%2C+MI+48187+Michigan</x:v>
      </x:c>
      <x:c r="M26" s="80" t="str"/>
      <x:c r="N26" s="74" t="str">
        <x:v>Current 2026 business-index result explicitly describes repair and installation capability.</x:v>
      </x:c>
    </x:row>
    <x:row r="27" ht="34" customHeight="1">
      <x:c r="A27" s="74" t="str">
        <x:v>Horizon Overhead Door, LLC</x:v>
      </x:c>
      <x:c r="B27" s="74" t="str"/>
      <x:c r="C27" s="74" t="str">
        <x:v>Cass City</x:v>
      </x:c>
      <x:c r="D27" s="74" t="str">
        <x:v>989-864-2286</x:v>
      </x:c>
      <x:c r="E27" s="74" t="str"/>
      <x:c r="F27" s="74" t="str">
        <x:v>Install + Service/Repair</x:v>
      </x:c>
      <x:c r="G27" s="76" t="n">
        <x:v>5</x:v>
      </x:c>
      <x:c r="H27" s="78" t="n">
        <x:v>372</x:v>
      </x:c>
      <x:c r="I27" s="74" t="str">
        <x:v>Saginaw / Great Lakes Bay</x:v>
      </x:c>
      <x:c r="J27" s="74" t="str">
        <x:v>Current Business Index</x:v>
      </x:c>
      <x:c r="K27" s="74" t="str">
        <x:v>High</x:v>
      </x:c>
      <x:c r="L27" s="80" t="str">
        <x:v>https://www.google.com/maps/search/?api=1&amp;query=Horizon+Overhead+Door%2C+LLC+Cass+City+Michigan</x:v>
      </x:c>
      <x:c r="M27" s="80" t="str"/>
      <x:c r="N27" s="74" t="str">
        <x:v>Current 2026 business-index result explicitly describes repair and installation capability.</x:v>
      </x:c>
    </x:row>
    <x:row r="28" ht="34" customHeight="1">
      <x:c r="A28" s="74" t="str">
        <x:v>Garage Doors Done Right</x:v>
      </x:c>
      <x:c r="B28" s="74" t="str">
        <x:v>6663 S Lime Lake Rd, Cedar, MI 49621</x:v>
      </x:c>
      <x:c r="C28" s="74" t="str">
        <x:v>Cedar</x:v>
      </x:c>
      <x:c r="D28" s="74" t="str">
        <x:v>231-633-2990</x:v>
      </x:c>
      <x:c r="E28" s="74" t="str"/>
      <x:c r="F28" s="74" t="str">
        <x:v>Install + Service/Repair</x:v>
      </x:c>
      <x:c r="G28" s="76" t="n">
        <x:v>5</x:v>
      </x:c>
      <x:c r="H28" s="78" t="n">
        <x:v>31</x:v>
      </x:c>
      <x:c r="I28" s="74" t="str">
        <x:v>Traverse City / Northern Michigan</x:v>
      </x:c>
      <x:c r="J28" s="74" t="str">
        <x:v>Current Business Index</x:v>
      </x:c>
      <x:c r="K28" s="74" t="str">
        <x:v>High</x:v>
      </x:c>
      <x:c r="L28" s="80" t="str">
        <x:v>https://www.google.com/maps/search/?api=1&amp;query=Garage+Doors+Done+Right+6663+S+Lime+Lake+Rd%2C+Cedar%2C+MI+49621+Michigan</x:v>
      </x:c>
      <x:c r="M28" s="80" t="str"/>
      <x:c r="N28" s="74" t="str">
        <x:v>Current 2026 business-index result explicitly describes repair and installation capability.</x:v>
      </x:c>
    </x:row>
    <x:row r="29" ht="34" customHeight="1">
      <x:c r="A29" s="74" t="str">
        <x:v>A1 Garage Door Service</x:v>
      </x:c>
      <x:c r="B29" s="74" t="str">
        <x:v>642 S Main St Suite 103, Clawson, MI 48017</x:v>
      </x:c>
      <x:c r="C29" s="74" t="str">
        <x:v>Clawson</x:v>
      </x:c>
      <x:c r="D29" s="74" t="str">
        <x:v>248-282-3272</x:v>
      </x:c>
      <x:c r="E29" s="74" t="str">
        <x:v>313-752-2590</x:v>
      </x:c>
      <x:c r="F29" s="74" t="str">
        <x:v>Install + Service/Repair</x:v>
      </x:c>
      <x:c r="G29" s="76" t="n">
        <x:v>4.8</x:v>
      </x:c>
      <x:c r="H29" s="78" t="n">
        <x:v>2638</x:v>
      </x:c>
      <x:c r="I29" s="74" t="str">
        <x:v>Statewide / Clopay</x:v>
      </x:c>
      <x:c r="J29" s="74" t="str">
        <x:v>Clopay Authorized Dealer</x:v>
      </x:c>
      <x:c r="K29" s="74" t="str">
        <x:v>High</x:v>
      </x:c>
      <x:c r="L29" s="80" t="str">
        <x:v>https://www.clopaydoor.com/dealers/michigan/-page-1-</x:v>
      </x:c>
      <x:c r="M29" s="80" t="str">
        <x:v>https://www.google.com/maps/search/?api=1&amp;query=A1+Garage+Door+Service+642+S+Main+St+Suite+103%2C+Clawson%2C+MI+48017+Michigan</x:v>
      </x:c>
      <x:c r="N29" s="74" t="str">
        <x:v>Clopay states its Michigan dealers provide new-door installation, time-sensitive repairs and preventive maintenance. Cross-checked against a current 2026 business-index result. Clopay directory lists: 642 S Main Street, Suite 103, Clawson, MI 48017.</x:v>
      </x:c>
    </x:row>
    <x:row r="30" ht="34" customHeight="1">
      <x:c r="A30" s="74" t="str">
        <x:v>ASAP Garage Door Repair Systems of Michigan</x:v>
      </x:c>
      <x:c r="B30" s="74" t="str">
        <x:v>38442 Meadowdale St, Charter Township of Clinton, MI 48036</x:v>
      </x:c>
      <x:c r="C30" s="74" t="str">
        <x:v>Clinton Township</x:v>
      </x:c>
      <x:c r="D30" s="74" t="str">
        <x:v>586-799-2763</x:v>
      </x:c>
      <x:c r="E30" s="74" t="str"/>
      <x:c r="F30" s="74" t="str">
        <x:v>Install + Service/Repair</x:v>
      </x:c>
      <x:c r="G30" s="76" t="n">
        <x:v>4.6</x:v>
      </x:c>
      <x:c r="H30" s="78" t="n">
        <x:v>11</x:v>
      </x:c>
      <x:c r="I30" s="74" t="str">
        <x:v>Port Huron / St. Clair-Macomb</x:v>
      </x:c>
      <x:c r="J30" s="74" t="str">
        <x:v>Current Business Index</x:v>
      </x:c>
      <x:c r="K30" s="74" t="str">
        <x:v>High</x:v>
      </x:c>
      <x:c r="L30" s="80" t="str">
        <x:v>https://www.google.com/maps/search/?api=1&amp;query=ASAP+Garage+Door+Repair+Systems+of+Michigan+38442+Meadowdale+St%2C+Charter+Township+of+Clinton%2C+MI+48036+Michigan</x:v>
      </x:c>
      <x:c r="M30" s="80" t="str"/>
      <x:c r="N30" s="74" t="str">
        <x:v>Current 2026 business-index result explicitly describes repair and installation capability.</x:v>
      </x:c>
    </x:row>
    <x:row r="31" ht="34" customHeight="1">
      <x:c r="A31" s="74" t="str">
        <x:v>FJF Door Sales</x:v>
      </x:c>
      <x:c r="B31" s="74" t="str">
        <x:v>43678 NORTH GRATIOT AVENUE, CLINTON TOWNSHIP, MI 48036-3330</x:v>
      </x:c>
      <x:c r="C31" s="74" t="str">
        <x:v>Clinton Township</x:v>
      </x:c>
      <x:c r="D31" s="74" t="str">
        <x:v>586-468-9787</x:v>
      </x:c>
      <x:c r="E31" s="74" t="str"/>
      <x:c r="F31" s="74" t="str">
        <x:v>Install + Service/Repair</x:v>
      </x:c>
      <x:c r="G31" s="76"/>
      <x:c r="H31" s="78"/>
      <x:c r="I31" s="74" t="str">
        <x:v>Statewide / Clopay</x:v>
      </x:c>
      <x:c r="J31" s="74" t="str">
        <x:v>Clopay Authorized Dealer</x:v>
      </x:c>
      <x:c r="K31" s="74" t="str">
        <x:v>High</x:v>
      </x:c>
      <x:c r="L31" s="80" t="str">
        <x:v>https://www.clopaydoor.com/dealers/michigan/-page-1-</x:v>
      </x:c>
      <x:c r="M31" s="80" t="str"/>
      <x:c r="N31" s="74" t="str">
        <x:v>Clopay states its Michigan dealers provide new-door installation, time-sensitive repairs and preventive maintenance.</x:v>
      </x:c>
    </x:row>
    <x:row r="32" ht="34" customHeight="1">
      <x:c r="A32" s="74" t="str">
        <x:v>JCL DOORS &amp; WINDOWS LLC</x:v>
      </x:c>
      <x:c r="B32" s="74" t="str">
        <x:v>11325 N Saginaw Rd, Clio, MI 48420</x:v>
      </x:c>
      <x:c r="C32" s="74" t="str">
        <x:v>Clio</x:v>
      </x:c>
      <x:c r="D32" s="74" t="str">
        <x:v>810-686-3455</x:v>
      </x:c>
      <x:c r="E32" s="74" t="str"/>
      <x:c r="F32" s="74" t="str">
        <x:v>Install + Service/Repair</x:v>
      </x:c>
      <x:c r="G32" s="76" t="n">
        <x:v>5</x:v>
      </x:c>
      <x:c r="H32" s="78" t="n">
        <x:v>5</x:v>
      </x:c>
      <x:c r="I32" s="74" t="str">
        <x:v>Flint / Genesee / Lapeer</x:v>
      </x:c>
      <x:c r="J32" s="74" t="str">
        <x:v>Current Business Index</x:v>
      </x:c>
      <x:c r="K32" s="74" t="str">
        <x:v>Medium</x:v>
      </x:c>
      <x:c r="L32" s="80" t="str">
        <x:v>https://www.google.com/maps/search/?api=1&amp;query=JCL+DOORS+%26+WINDOWS+LLC+11325+N+Saginaw+Rd%2C+Clio%2C+MI+48420+Michigan</x:v>
      </x:c>
      <x:c r="M32" s="80" t="str"/>
      <x:c r="N32" s="74" t="str">
        <x:v>Current 2026 business-index result explicitly describes repair and installation capability.</x:v>
      </x:c>
    </x:row>
    <x:row r="33" ht="34" customHeight="1">
      <x:c r="A33" s="74" t="str">
        <x:v>A1 Garage Door Service - Detroit, MI</x:v>
      </x:c>
      <x:c r="B33" s="74" t="str">
        <x:v>2072 Winner Street, Commerce Township, MI 48390-3259</x:v>
      </x:c>
      <x:c r="C33" s="74" t="str">
        <x:v>Commerce Township</x:v>
      </x:c>
      <x:c r="D33" s="74" t="str">
        <x:v>833-653-2866</x:v>
      </x:c>
      <x:c r="E33" s="74" t="str"/>
      <x:c r="F33" s="74" t="str">
        <x:v>Install + Service/Repair</x:v>
      </x:c>
      <x:c r="G33" s="76"/>
      <x:c r="H33" s="78"/>
      <x:c r="I33" s="74" t="str">
        <x:v>Statewide / Clopay</x:v>
      </x:c>
      <x:c r="J33" s="74" t="str">
        <x:v>Clopay Authorized Dealer</x:v>
      </x:c>
      <x:c r="K33" s="74" t="str">
        <x:v>High</x:v>
      </x:c>
      <x:c r="L33" s="80" t="str">
        <x:v>https://www.clopaydoor.com/dealers/michigan/-page-1-</x:v>
      </x:c>
      <x:c r="M33" s="80" t="str"/>
      <x:c r="N33" s="74" t="str">
        <x:v>Clopay states its Michigan dealers provide new-door installation, time-sensitive repairs and preventive maintenance.</x:v>
      </x:c>
    </x:row>
    <x:row r="34" ht="34" customHeight="1">
      <x:c r="A34" s="74" t="str">
        <x:v>DISCOUNT DOOR CO LLC</x:v>
      </x:c>
      <x:c r="B34" s="74" t="str">
        <x:v>4780 West River Road, Comstock Park, MI 49321-8927</x:v>
      </x:c>
      <x:c r="C34" s="74" t="str">
        <x:v>Comstock Park</x:v>
      </x:c>
      <x:c r="D34" s="74" t="str">
        <x:v>616-363-5692</x:v>
      </x:c>
      <x:c r="E34" s="74" t="str"/>
      <x:c r="F34" s="74" t="str">
        <x:v>Install + Service/Repair</x:v>
      </x:c>
      <x:c r="G34" s="76"/>
      <x:c r="H34" s="78"/>
      <x:c r="I34" s="74" t="str">
        <x:v>Statewide / Clopay</x:v>
      </x:c>
      <x:c r="J34" s="74" t="str">
        <x:v>Clopay Authorized Dealer</x:v>
      </x:c>
      <x:c r="K34" s="74" t="str">
        <x:v>High</x:v>
      </x:c>
      <x:c r="L34" s="80" t="str">
        <x:v>https://www.clopaydoor.com/dealers/michigan/-page-1-</x:v>
      </x:c>
      <x:c r="M34" s="80" t="str"/>
      <x:c r="N34" s="74" t="str">
        <x:v>Clopay states its Michigan dealers provide new-door installation, time-sensitive repairs and preventive maintenance.</x:v>
      </x:c>
    </x:row>
    <x:row r="35" ht="34" customHeight="1">
      <x:c r="A35" s="74" t="str">
        <x:v>Davison Overhead Door Co</x:v>
      </x:c>
      <x:c r="B35" s="74" t="str">
        <x:v>5112 N State Rd, Davison, MI 48423</x:v>
      </x:c>
      <x:c r="C35" s="74" t="str">
        <x:v>Davison</x:v>
      </x:c>
      <x:c r="D35" s="74" t="str">
        <x:v>810-653-3697</x:v>
      </x:c>
      <x:c r="E35" s="74" t="str"/>
      <x:c r="F35" s="74" t="str">
        <x:v>Install + Service/Repair</x:v>
      </x:c>
      <x:c r="G35" s="76" t="n">
        <x:v>5</x:v>
      </x:c>
      <x:c r="H35" s="78" t="n">
        <x:v>6</x:v>
      </x:c>
      <x:c r="I35" s="74" t="str">
        <x:v>Flint / Genesee / Lapeer</x:v>
      </x:c>
      <x:c r="J35" s="74" t="str">
        <x:v>Current Business Index</x:v>
      </x:c>
      <x:c r="K35" s="74" t="str">
        <x:v>Medium</x:v>
      </x:c>
      <x:c r="L35" s="80" t="str">
        <x:v>https://www.google.com/maps/search/?api=1&amp;query=Davison+Overhead+Door+Co+5112+N+State+Rd%2C+Davison%2C+MI+48423+Michigan</x:v>
      </x:c>
      <x:c r="M35" s="80" t="str"/>
      <x:c r="N35" s="74" t="str">
        <x:v>Current 2026 business-index result explicitly describes repair and installation capability.</x:v>
      </x:c>
    </x:row>
    <x:row r="36" ht="34" customHeight="1">
      <x:c r="A36" s="74" t="str">
        <x:v>Elite Garage Door Repair Of Detroit</x:v>
      </x:c>
      <x:c r="B36" s="74" t="str"/>
      <x:c r="C36" s="74" t="str">
        <x:v>Detroit</x:v>
      </x:c>
      <x:c r="D36" s="74" t="str">
        <x:v>313-335-3509</x:v>
      </x:c>
      <x:c r="E36" s="74" t="str"/>
      <x:c r="F36" s="74" t="str">
        <x:v>Install + Service/Repair</x:v>
      </x:c>
      <x:c r="G36" s="76" t="n">
        <x:v>4.9</x:v>
      </x:c>
      <x:c r="H36" s="78" t="n">
        <x:v>310</x:v>
      </x:c>
      <x:c r="I36" s="74" t="str">
        <x:v>Detroit / Southeast Michigan</x:v>
      </x:c>
      <x:c r="J36" s="74" t="str">
        <x:v>Current Business Index</x:v>
      </x:c>
      <x:c r="K36" s="74" t="str">
        <x:v>High</x:v>
      </x:c>
      <x:c r="L36" s="80" t="str">
        <x:v>https://www.google.com/maps/search/?api=1&amp;query=Elite+Garage+Door+Repair+Of+Detroit+Detroit+Michigan</x:v>
      </x:c>
      <x:c r="M36" s="80" t="str"/>
      <x:c r="N36" s="74" t="str">
        <x:v>Current 2026 business-index result explicitly describes repair and installation capability.</x:v>
      </x:c>
    </x:row>
    <x:row r="37" ht="34" customHeight="1">
      <x:c r="A37" s="74" t="str">
        <x:v>CCM Garage Door</x:v>
      </x:c>
      <x:c r="B37" s="74" t="str"/>
      <x:c r="C37" s="74" t="str">
        <x:v>DeWitt</x:v>
      </x:c>
      <x:c r="D37" s="74" t="str">
        <x:v>517-974-8047</x:v>
      </x:c>
      <x:c r="E37" s="74" t="str"/>
      <x:c r="F37" s="74" t="str">
        <x:v>Install + Service/Repair</x:v>
      </x:c>
      <x:c r="G37" s="76" t="n">
        <x:v>5</x:v>
      </x:c>
      <x:c r="H37" s="78" t="n">
        <x:v>20</x:v>
      </x:c>
      <x:c r="I37" s="74" t="str">
        <x:v>Lansing / Mid-Michigan</x:v>
      </x:c>
      <x:c r="J37" s="74" t="str">
        <x:v>Current Business Index</x:v>
      </x:c>
      <x:c r="K37" s="74" t="str">
        <x:v>High</x:v>
      </x:c>
      <x:c r="L37" s="80" t="str">
        <x:v>https://www.google.com/maps/search/?api=1&amp;query=CCM+Garage+Door+DeWitt+Michigan</x:v>
      </x:c>
      <x:c r="M37" s="80" t="str"/>
      <x:c r="N37" s="74" t="str">
        <x:v>Current 2026 business-index result explicitly describes repair and installation capability.</x:v>
      </x:c>
    </x:row>
    <x:row r="38" ht="34" customHeight="1">
      <x:c r="A38" s="74" t="str">
        <x:v>Dexter Garage Door</x:v>
      </x:c>
      <x:c r="B38" s="74" t="str">
        <x:v>8340 Huron River Dr, Dexter, MI 48130</x:v>
      </x:c>
      <x:c r="C38" s="74" t="str">
        <x:v>Dexter</x:v>
      </x:c>
      <x:c r="D38" s="74" t="str">
        <x:v>734-417-6182</x:v>
      </x:c>
      <x:c r="E38" s="74" t="str"/>
      <x:c r="F38" s="74" t="str">
        <x:v>Install + Service/Repair</x:v>
      </x:c>
      <x:c r="G38" s="76" t="n">
        <x:v>4.1</x:v>
      </x:c>
      <x:c r="H38" s="78" t="n">
        <x:v>19</x:v>
      </x:c>
      <x:c r="I38" s="74" t="str">
        <x:v>Jackson / South-Central Michigan</x:v>
      </x:c>
      <x:c r="J38" s="74" t="str">
        <x:v>Current Business Index</x:v>
      </x:c>
      <x:c r="K38" s="74" t="str">
        <x:v>High</x:v>
      </x:c>
      <x:c r="L38" s="80" t="str">
        <x:v>https://www.google.com/maps/search/?api=1&amp;query=Dexter+Garage+Door+8340+Huron+River+Dr%2C+Dexter%2C+MI+48130+Michigan</x:v>
      </x:c>
      <x:c r="M38" s="80" t="str"/>
      <x:c r="N38" s="74" t="str">
        <x:v>Current 2026 business-index result explicitly describes repair and installation capability.</x:v>
      </x:c>
    </x:row>
    <x:row r="39" ht="34" customHeight="1">
      <x:c r="A39" s="74" t="str">
        <x:v>Overhead Door Company of Lansing</x:v>
      </x:c>
      <x:c r="B39" s="74" t="str">
        <x:v>2045 E Saginaw St, East Lansing, MI 48823</x:v>
      </x:c>
      <x:c r="C39" s="74" t="str">
        <x:v>East Lansing</x:v>
      </x:c>
      <x:c r="D39" s="74" t="str">
        <x:v>517-332-1133</x:v>
      </x:c>
      <x:c r="E39" s="74" t="str">
        <x:v>517-301-9974</x:v>
      </x:c>
      <x:c r="F39" s="74" t="str">
        <x:v>Install + Service/Repair</x:v>
      </x:c>
      <x:c r="G39" s="76" t="n">
        <x:v>4.6</x:v>
      </x:c>
      <x:c r="H39" s="78" t="n">
        <x:v>97</x:v>
      </x:c>
      <x:c r="I39" s="74" t="str">
        <x:v>Statewide / Clopay</x:v>
      </x:c>
      <x:c r="J39" s="74" t="str">
        <x:v>Clopay Authorized Dealer</x:v>
      </x:c>
      <x:c r="K39" s="74" t="str">
        <x:v>High</x:v>
      </x:c>
      <x:c r="L39" s="80" t="str">
        <x:v>https://www.clopaydoor.com/dealers/michigan/-page-2-</x:v>
      </x:c>
      <x:c r="M39" s="80" t="str">
        <x:v>https://www.google.com/maps/search/?api=1&amp;query=Overhead+Door+Company+of+Lansing+2045+E+Saginaw+St%2C+East+Lansing%2C+MI+48823+Michigan</x:v>
      </x:c>
      <x:c r="N39" s="74" t="str">
        <x:v>Clopay states its Michigan dealers provide new-door installation, time-sensitive repairs and preventive maintenance. Cross-checked against a current 2026 business-index result. Clopay directory lists: 2045 EAST M 78, EAST LANSING, MI 48823-9783.</x:v>
      </x:c>
    </x:row>
    <x:row r="40" ht="34" customHeight="1">
      <x:c r="A40" s="74" t="str">
        <x:v>Caleb's Garage Door Service</x:v>
      </x:c>
      <x:c r="B40" s="74" t="str"/>
      <x:c r="C40" s="74" t="str">
        <x:v>Eaton Rapids</x:v>
      </x:c>
      <x:c r="D40" s="74" t="str">
        <x:v>517-983-0011</x:v>
      </x:c>
      <x:c r="E40" s="74" t="str"/>
      <x:c r="F40" s="74" t="str">
        <x:v>Install + Service/Repair</x:v>
      </x:c>
      <x:c r="G40" s="76" t="n">
        <x:v>5</x:v>
      </x:c>
      <x:c r="H40" s="78" t="n">
        <x:v>44</x:v>
      </x:c>
      <x:c r="I40" s="74" t="str">
        <x:v>Lansing / Mid-Michigan</x:v>
      </x:c>
      <x:c r="J40" s="74" t="str">
        <x:v>Current Business Index</x:v>
      </x:c>
      <x:c r="K40" s="74" t="str">
        <x:v>High</x:v>
      </x:c>
      <x:c r="L40" s="80" t="str">
        <x:v>https://www.google.com/maps/search/?api=1&amp;query=Caleb%27s+Garage+Door+Service+Eaton+Rapids+Michigan</x:v>
      </x:c>
      <x:c r="M40" s="80" t="str"/>
      <x:c r="N40" s="74" t="str">
        <x:v>Current 2026 business-index result explicitly describes repair and installation capability.</x:v>
      </x:c>
    </x:row>
    <x:row r="41" ht="34" customHeight="1">
      <x:c r="A41" s="74" t="str">
        <x:v>Delta Door &amp; Dock</x:v>
      </x:c>
      <x:c r="B41" s="74" t="str">
        <x:v>2120 N Lincoln Rd, Escanaba, MI 49829</x:v>
      </x:c>
      <x:c r="C41" s="74" t="str">
        <x:v>Escanaba</x:v>
      </x:c>
      <x:c r="D41" s="74" t="str">
        <x:v>906-428-8488</x:v>
      </x:c>
      <x:c r="E41" s="74" t="str"/>
      <x:c r="F41" s="74" t="str">
        <x:v>Install + Service/Repair</x:v>
      </x:c>
      <x:c r="G41" s="76" t="n">
        <x:v>5</x:v>
      </x:c>
      <x:c r="H41" s="78" t="n">
        <x:v>43</x:v>
      </x:c>
      <x:c r="I41" s="74" t="str">
        <x:v>Upper Peninsula</x:v>
      </x:c>
      <x:c r="J41" s="74" t="str">
        <x:v>Current Business Index</x:v>
      </x:c>
      <x:c r="K41" s="74" t="str">
        <x:v>High</x:v>
      </x:c>
      <x:c r="L41" s="80" t="str">
        <x:v>https://www.google.com/maps/search/?api=1&amp;query=Delta+Door+%26+Dock+2120+N+Lincoln+Rd%2C+Escanaba%2C+MI+49829+Michigan</x:v>
      </x:c>
      <x:c r="M41" s="80" t="str"/>
      <x:c r="N41" s="74" t="str">
        <x:v>Current 2026 business-index result explicitly describes repair and installation capability.</x:v>
      </x:c>
    </x:row>
    <x:row r="42" ht="34" customHeight="1">
      <x:c r="A42" s="74" t="str">
        <x:v>TARNOW DOOR COMPANY</x:v>
      </x:c>
      <x:c r="B42" s="74" t="str">
        <x:v>23701 HALSTED ROAD, FARMINGTON HILLS, MI 48335</x:v>
      </x:c>
      <x:c r="C42" s="74" t="str">
        <x:v>Farmington Hills</x:v>
      </x:c>
      <x:c r="D42" s="74" t="str">
        <x:v>248-478-9060</x:v>
      </x:c>
      <x:c r="E42" s="74" t="str"/>
      <x:c r="F42" s="74" t="str">
        <x:v>Install + Service/Repair</x:v>
      </x:c>
      <x:c r="G42" s="76"/>
      <x:c r="H42" s="78"/>
      <x:c r="I42" s="74" t="str">
        <x:v>Statewide / Clopay</x:v>
      </x:c>
      <x:c r="J42" s="74" t="str">
        <x:v>Clopay Authorized Dealer</x:v>
      </x:c>
      <x:c r="K42" s="74" t="str">
        <x:v>High</x:v>
      </x:c>
      <x:c r="L42" s="80" t="str">
        <x:v>https://www.clopaydoor.com/dealers/michigan/-page-3-</x:v>
      </x:c>
      <x:c r="M42" s="80" t="str"/>
      <x:c r="N42" s="74" t="str">
        <x:v>Clopay states its Michigan dealers provide new-door installation, time-sensitive repairs and preventive maintenance.</x:v>
      </x:c>
    </x:row>
    <x:row r="43" ht="34" customHeight="1">
      <x:c r="A43" s="74" t="str">
        <x:v>Chad Hopkins Custom Doors</x:v>
      </x:c>
      <x:c r="B43" s="74" t="str">
        <x:v>1017 N Leroy St, Fenton, MI 48430</x:v>
      </x:c>
      <x:c r="C43" s="74" t="str">
        <x:v>Fenton</x:v>
      </x:c>
      <x:c r="D43" s="74" t="str">
        <x:v>810-309-5631</x:v>
      </x:c>
      <x:c r="E43" s="74" t="str"/>
      <x:c r="F43" s="74" t="str">
        <x:v>Install + Service/Repair</x:v>
      </x:c>
      <x:c r="G43" s="76" t="n">
        <x:v>4.9</x:v>
      </x:c>
      <x:c r="H43" s="78" t="n">
        <x:v>43</x:v>
      </x:c>
      <x:c r="I43" s="74" t="str">
        <x:v>Flint / Genesee / Lapeer</x:v>
      </x:c>
      <x:c r="J43" s="74" t="str">
        <x:v>Current Business Index</x:v>
      </x:c>
      <x:c r="K43" s="74" t="str">
        <x:v>High</x:v>
      </x:c>
      <x:c r="L43" s="80" t="str">
        <x:v>https://www.google.com/maps/search/?api=1&amp;query=Chad+Hopkins+Custom+Doors+1017+N+Leroy+St%2C+Fenton%2C+MI+48430+Michigan</x:v>
      </x:c>
      <x:c r="M43" s="80" t="str"/>
      <x:c r="N43" s="74" t="str">
        <x:v>Current 2026 business-index result explicitly describes repair and installation capability.</x:v>
      </x:c>
    </x:row>
    <x:row r="44" ht="34" customHeight="1">
      <x:c r="A44" s="74" t="str">
        <x:v>K &amp; H Garage Doors</x:v>
      </x:c>
      <x:c r="B44" s="74" t="str">
        <x:v>2033 S Long Lake Rd, Fenton, MI 48430</x:v>
      </x:c>
      <x:c r="C44" s="74" t="str">
        <x:v>Fenton</x:v>
      </x:c>
      <x:c r="D44" s="74" t="str">
        <x:v>810-629-1293</x:v>
      </x:c>
      <x:c r="E44" s="74" t="str"/>
      <x:c r="F44" s="74" t="str">
        <x:v>Install + Service/Repair</x:v>
      </x:c>
      <x:c r="G44" s="76" t="n">
        <x:v>5</x:v>
      </x:c>
      <x:c r="H44" s="78" t="n">
        <x:v>9</x:v>
      </x:c>
      <x:c r="I44" s="74" t="str">
        <x:v>Flint / Genesee / Lapeer</x:v>
      </x:c>
      <x:c r="J44" s="74" t="str">
        <x:v>Current Business Index</x:v>
      </x:c>
      <x:c r="K44" s="74" t="str">
        <x:v>Medium</x:v>
      </x:c>
      <x:c r="L44" s="80" t="str">
        <x:v>https://www.google.com/maps/search/?api=1&amp;query=K+%26+H+Garage+Doors+2033+S+Long+Lake+Rd%2C+Fenton%2C+MI+48430+Michigan</x:v>
      </x:c>
      <x:c r="M44" s="80" t="str"/>
      <x:c r="N44" s="74" t="str">
        <x:v>Current 2026 business-index result explicitly describes repair and installation capability.</x:v>
      </x:c>
    </x:row>
    <x:row r="45" ht="34" customHeight="1">
      <x:c r="A45" s="74" t="str">
        <x:v>Nettle Repair | Garage Services</x:v>
      </x:c>
      <x:c r="B45" s="74" t="str"/>
      <x:c r="C45" s="74" t="str">
        <x:v>Fenton</x:v>
      </x:c>
      <x:c r="D45" s="74" t="str">
        <x:v>810-772-4174</x:v>
      </x:c>
      <x:c r="E45" s="74" t="str"/>
      <x:c r="F45" s="74" t="str">
        <x:v>Install + Service/Repair</x:v>
      </x:c>
      <x:c r="G45" s="76" t="n">
        <x:v>5</x:v>
      </x:c>
      <x:c r="H45" s="78" t="n">
        <x:v>68</x:v>
      </x:c>
      <x:c r="I45" s="74" t="str">
        <x:v>Flint / Genesee / Lapeer</x:v>
      </x:c>
      <x:c r="J45" s="74" t="str">
        <x:v>Current Business Index</x:v>
      </x:c>
      <x:c r="K45" s="74" t="str">
        <x:v>High</x:v>
      </x:c>
      <x:c r="L45" s="80" t="str">
        <x:v>https://www.google.com/maps/search/?api=1&amp;query=Nettle+Repair+%7C+Garage+Services+Fenton+Michigan</x:v>
      </x:c>
      <x:c r="M45" s="80" t="str"/>
      <x:c r="N45" s="74" t="str">
        <x:v>Current 2026 business-index result explicitly describes repair and installation capability.</x:v>
      </x:c>
    </x:row>
    <x:row r="46" ht="34" customHeight="1">
      <x:c r="A46" s="74" t="str">
        <x:v>Campbell's Garage Door LLC</x:v>
      </x:c>
      <x:c r="B46" s="74" t="str">
        <x:v>7050 Lewis St, Flint, MI 48506</x:v>
      </x:c>
      <x:c r="C46" s="74" t="str">
        <x:v>Flint</x:v>
      </x:c>
      <x:c r="D46" s="74" t="str">
        <x:v>810-686-1118</x:v>
      </x:c>
      <x:c r="E46" s="74" t="str"/>
      <x:c r="F46" s="74" t="str">
        <x:v>Install + Service/Repair</x:v>
      </x:c>
      <x:c r="G46" s="76" t="n">
        <x:v>5</x:v>
      </x:c>
      <x:c r="H46" s="78" t="n">
        <x:v>19</x:v>
      </x:c>
      <x:c r="I46" s="74" t="str">
        <x:v>Flint / Genesee / Lapeer</x:v>
      </x:c>
      <x:c r="J46" s="74" t="str">
        <x:v>Current Business Index</x:v>
      </x:c>
      <x:c r="K46" s="74" t="str">
        <x:v>High</x:v>
      </x:c>
      <x:c r="L46" s="80" t="str">
        <x:v>https://www.google.com/maps/search/?api=1&amp;query=Campbell%27s+Garage+Door+LLC+7050+Lewis+St%2C+Flint%2C+MI+48506+Michigan</x:v>
      </x:c>
      <x:c r="M46" s="80" t="str"/>
      <x:c r="N46" s="74" t="str">
        <x:v>Current 2026 business-index result explicitly describes repair and installation capability.</x:v>
      </x:c>
    </x:row>
    <x:row r="47" ht="34" customHeight="1">
      <x:c r="A47" s="74" t="str">
        <x:v>D &amp; D Doors</x:v>
      </x:c>
      <x:c r="B47" s="74" t="str">
        <x:v>1550 Mabel Ave, Flint, MI 48506</x:v>
      </x:c>
      <x:c r="C47" s="74" t="str">
        <x:v>Flint</x:v>
      </x:c>
      <x:c r="D47" s="74" t="str">
        <x:v>810-845-9540</x:v>
      </x:c>
      <x:c r="E47" s="74" t="str"/>
      <x:c r="F47" s="74" t="str">
        <x:v>Install + Service/Repair</x:v>
      </x:c>
      <x:c r="G47" s="76" t="n">
        <x:v>4.5</x:v>
      </x:c>
      <x:c r="H47" s="78" t="n">
        <x:v>11</x:v>
      </x:c>
      <x:c r="I47" s="74" t="str">
        <x:v>Flint / Genesee / Lapeer</x:v>
      </x:c>
      <x:c r="J47" s="74" t="str">
        <x:v>Current Business Index</x:v>
      </x:c>
      <x:c r="K47" s="74" t="str">
        <x:v>High</x:v>
      </x:c>
      <x:c r="L47" s="80" t="str">
        <x:v>https://www.google.com/maps/search/?api=1&amp;query=D+%26+D+Doors+1550+Mabel+Ave%2C+Flint%2C+MI+48506+Michigan</x:v>
      </x:c>
      <x:c r="M47" s="80" t="str"/>
      <x:c r="N47" s="74" t="str">
        <x:v>Current 2026 business-index result explicitly describes repair and installation capability.</x:v>
      </x:c>
    </x:row>
    <x:row r="48" ht="34" customHeight="1">
      <x:c r="A48" s="74" t="str">
        <x:v>Ainsworth Door Inc</x:v>
      </x:c>
      <x:c r="B48" s="74" t="str">
        <x:v>3928 Krafft Rd, Fort Gratiot Township, MI 48059</x:v>
      </x:c>
      <x:c r="C48" s="74" t="str">
        <x:v>Fort Gratiot Township</x:v>
      </x:c>
      <x:c r="D48" s="74" t="str">
        <x:v>810-385-5425</x:v>
      </x:c>
      <x:c r="E48" s="74" t="str"/>
      <x:c r="F48" s="74" t="str">
        <x:v>Install + Service/Repair</x:v>
      </x:c>
      <x:c r="G48" s="76" t="n">
        <x:v>4.9</x:v>
      </x:c>
      <x:c r="H48" s="78" t="n">
        <x:v>56</x:v>
      </x:c>
      <x:c r="I48" s="74" t="str">
        <x:v>Statewide / Clopay</x:v>
      </x:c>
      <x:c r="J48" s="74" t="str">
        <x:v>Clopay Authorized Dealer</x:v>
      </x:c>
      <x:c r="K48" s="74" t="str">
        <x:v>High</x:v>
      </x:c>
      <x:c r="L48" s="80" t="str">
        <x:v>https://www.clopaydoor.com/dealers/michigan/-page-1-</x:v>
      </x:c>
      <x:c r="M48" s="80" t="str">
        <x:v>https://www.google.com/maps/search/?api=1&amp;query=Ainsworth+Door+Inc+3928+Krafft+Rd%2C+Fort+Gratiot+Township%2C+MI+48059+Michigan</x:v>
      </x:c>
      <x:c r="N48" s="74" t="str">
        <x:v>Clopay states its Michigan dealers provide new-door installation, time-sensitive repairs and preventive maintenance. Cross-checked against a current 2026 business-index result. Clopay directory lists: 3888 North Road, Clyde, MI 48049-3936.</x:v>
      </x:c>
    </x:row>
    <x:row r="49" ht="34" customHeight="1">
      <x:c r="A49" s="74" t="str">
        <x:v>Blue Water Door</x:v>
      </x:c>
      <x:c r="B49" s="74" t="str">
        <x:v>4146 N River Rd, Fort Gratiot Township, MI 48059</x:v>
      </x:c>
      <x:c r="C49" s="74" t="str">
        <x:v>Fort Gratiot Township</x:v>
      </x:c>
      <x:c r="D49" s="74" t="str">
        <x:v>810-985-6771</x:v>
      </x:c>
      <x:c r="E49" s="74" t="str"/>
      <x:c r="F49" s="74" t="str">
        <x:v>Install + Service/Repair</x:v>
      </x:c>
      <x:c r="G49" s="76" t="n">
        <x:v>4.8</x:v>
      </x:c>
      <x:c r="H49" s="78" t="n">
        <x:v>4</x:v>
      </x:c>
      <x:c r="I49" s="74" t="str">
        <x:v>Port Huron / St. Clair-Macomb</x:v>
      </x:c>
      <x:c r="J49" s="74" t="str">
        <x:v>Current Business Index</x:v>
      </x:c>
      <x:c r="K49" s="74" t="str">
        <x:v>Medium</x:v>
      </x:c>
      <x:c r="L49" s="80" t="str">
        <x:v>https://www.google.com/maps/search/?api=1&amp;query=Blue+Water+Door+4146+N+River+Rd%2C+Fort+Gratiot+Township%2C+MI+48059+Michigan</x:v>
      </x:c>
      <x:c r="M49" s="80" t="str"/>
      <x:c r="N49" s="74" t="str">
        <x:v>Current 2026 business-index result explicitly describes repair and installation capability.</x:v>
      </x:c>
    </x:row>
    <x:row r="50" ht="34" customHeight="1">
      <x:c r="A50" s="74" t="str">
        <x:v>Wieber Lumber Co</x:v>
      </x:c>
      <x:c r="B50" s="74" t="str">
        <x:v>132 N Main Street, PO Box 20, Fowler, MI 48835-5124</x:v>
      </x:c>
      <x:c r="C50" s="74" t="str">
        <x:v>Fowler</x:v>
      </x:c>
      <x:c r="D50" s="74" t="str">
        <x:v>989-593-2280</x:v>
      </x:c>
      <x:c r="E50" s="74" t="str"/>
      <x:c r="F50" s="74" t="str">
        <x:v>Install + Service/Repair</x:v>
      </x:c>
      <x:c r="G50" s="76"/>
      <x:c r="H50" s="78"/>
      <x:c r="I50" s="74" t="str">
        <x:v>Statewide / Clopay</x:v>
      </x:c>
      <x:c r="J50" s="74" t="str">
        <x:v>Clopay Authorized Dealer</x:v>
      </x:c>
      <x:c r="K50" s="74" t="str">
        <x:v>High</x:v>
      </x:c>
      <x:c r="L50" s="80" t="str">
        <x:v>https://www.clopaydoor.com/dealers/michigan/-page-3-</x:v>
      </x:c>
      <x:c r="M50" s="80" t="str"/>
      <x:c r="N50" s="74" t="str">
        <x:v>Clopay states its Michigan dealers provide new-door installation, time-sensitive repairs and preventive maintenance.</x:v>
      </x:c>
    </x:row>
    <x:row r="51" ht="34" customHeight="1">
      <x:c r="A51" s="74" t="str">
        <x:v>GDM Garage Door Service</x:v>
      </x:c>
      <x:c r="B51" s="74" t="str">
        <x:v>9612 Tittabawassee Rd, Freeland, MI 48623</x:v>
      </x:c>
      <x:c r="C51" s="74" t="str">
        <x:v>Freeland</x:v>
      </x:c>
      <x:c r="D51" s="74" t="str">
        <x:v>989-525-3446</x:v>
      </x:c>
      <x:c r="E51" s="74" t="str"/>
      <x:c r="F51" s="74" t="str">
        <x:v>Install + Service/Repair</x:v>
      </x:c>
      <x:c r="G51" s="76" t="n">
        <x:v>4.9</x:v>
      </x:c>
      <x:c r="H51" s="78" t="n">
        <x:v>67</x:v>
      </x:c>
      <x:c r="I51" s="74" t="str">
        <x:v>Saginaw / Great Lakes Bay</x:v>
      </x:c>
      <x:c r="J51" s="74" t="str">
        <x:v>Current Business Index</x:v>
      </x:c>
      <x:c r="K51" s="74" t="str">
        <x:v>High</x:v>
      </x:c>
      <x:c r="L51" s="80" t="str">
        <x:v>https://www.google.com/maps/search/?api=1&amp;query=GDM+Garage+Door+Service+9612+Tittabawassee+Rd%2C+Freeland%2C+MI+48623+Michigan</x:v>
      </x:c>
      <x:c r="M51" s="80" t="str"/>
      <x:c r="N51" s="74" t="str">
        <x:v>Current 2026 business-index result explicitly describes repair and installation capability.</x:v>
      </x:c>
    </x:row>
    <x:row r="52" ht="34" customHeight="1">
      <x:c r="A52" s="74" t="str">
        <x:v>Tri County Doors</x:v>
      </x:c>
      <x:c r="B52" s="74" t="str">
        <x:v>4242 S Ferris Ave, Fremont, MI 49412-8775</x:v>
      </x:c>
      <x:c r="C52" s="74" t="str">
        <x:v>Fremont</x:v>
      </x:c>
      <x:c r="D52" s="74" t="str">
        <x:v>276-265-0408</x:v>
      </x:c>
      <x:c r="E52" s="74" t="str"/>
      <x:c r="F52" s="74" t="str">
        <x:v>Install + Service/Repair</x:v>
      </x:c>
      <x:c r="G52" s="76"/>
      <x:c r="H52" s="78"/>
      <x:c r="I52" s="74" t="str">
        <x:v>Statewide / Clopay</x:v>
      </x:c>
      <x:c r="J52" s="74" t="str">
        <x:v>Clopay Authorized Dealer</x:v>
      </x:c>
      <x:c r="K52" s="74" t="str">
        <x:v>High</x:v>
      </x:c>
      <x:c r="L52" s="80" t="str">
        <x:v>https://www.clopaydoor.com/dealers/michigan/-page-3-</x:v>
      </x:c>
      <x:c r="M52" s="80" t="str"/>
      <x:c r="N52" s="74" t="str">
        <x:v>Clopay states its Michigan dealers provide new-door installation, time-sensitive repairs and preventive maintenance.</x:v>
      </x:c>
    </x:row>
    <x:row r="53" ht="34" customHeight="1">
      <x:c r="A53" s="74" t="str">
        <x:v>Delta Door Co</x:v>
      </x:c>
      <x:c r="B53" s="74" t="str">
        <x:v>8373 P 5, Gladstone, MI 49837</x:v>
      </x:c>
      <x:c r="C53" s="74" t="str">
        <x:v>Gladstone</x:v>
      </x:c>
      <x:c r="D53" s="74" t="str">
        <x:v>906-428-1294</x:v>
      </x:c>
      <x:c r="E53" s="74" t="str"/>
      <x:c r="F53" s="74" t="str">
        <x:v>Install + Service/Repair</x:v>
      </x:c>
      <x:c r="G53" s="76" t="n">
        <x:v>4.8</x:v>
      </x:c>
      <x:c r="H53" s="78" t="n">
        <x:v>19</x:v>
      </x:c>
      <x:c r="I53" s="74" t="str">
        <x:v>Upper Peninsula</x:v>
      </x:c>
      <x:c r="J53" s="74" t="str">
        <x:v>Current Business Index</x:v>
      </x:c>
      <x:c r="K53" s="74" t="str">
        <x:v>High</x:v>
      </x:c>
      <x:c r="L53" s="80" t="str">
        <x:v>https://www.google.com/maps/search/?api=1&amp;query=Delta+Door+Co+8373+P+5%2C+Gladstone%2C+MI+49837+Michigan</x:v>
      </x:c>
      <x:c r="M53" s="80" t="str"/>
      <x:c r="N53" s="74" t="str">
        <x:v>Current 2026 business-index result explicitly describes repair and installation capability.</x:v>
      </x:c>
    </x:row>
    <x:row r="54" ht="34" customHeight="1">
      <x:c r="A54" s="74" t="str">
        <x:v>Northwoods Garage Door And Supply</x:v>
      </x:c>
      <x:c r="B54" s="74" t="str">
        <x:v>PO Box 201, Gladstone, MI 49837</x:v>
      </x:c>
      <x:c r="C54" s="74" t="str">
        <x:v>Gladstone</x:v>
      </x:c>
      <x:c r="D54" s="74" t="str">
        <x:v>906-399-9473</x:v>
      </x:c>
      <x:c r="E54" s="74" t="str"/>
      <x:c r="F54" s="74" t="str">
        <x:v>Install + Service/Repair</x:v>
      </x:c>
      <x:c r="G54" s="76"/>
      <x:c r="H54" s="78" t="n">
        <x:v>0</x:v>
      </x:c>
      <x:c r="I54" s="74" t="str">
        <x:v>Upper Peninsula</x:v>
      </x:c>
      <x:c r="J54" s="74" t="str">
        <x:v>Current Business Index</x:v>
      </x:c>
      <x:c r="K54" s="74" t="str">
        <x:v>Medium</x:v>
      </x:c>
      <x:c r="L54" s="80" t="str">
        <x:v>https://www.google.com/maps/search/?api=1&amp;query=Northwoods+Garage+Door+And+Supply+PO+Box+201%2C+Gladstone%2C+MI+49837+Michigan</x:v>
      </x:c>
      <x:c r="M54" s="80" t="str"/>
      <x:c r="N54" s="74" t="str">
        <x:v>Current 2026 business-index result explicitly describes repair and installation capability.</x:v>
      </x:c>
    </x:row>
    <x:row r="55" ht="34" customHeight="1">
      <x:c r="A55" s="74" t="str">
        <x:v>BJ's Garage Doors Inc.</x:v>
      </x:c>
      <x:c r="B55" s="74" t="str"/>
      <x:c r="C55" s="74" t="str">
        <x:v>Grand Blanc</x:v>
      </x:c>
      <x:c r="D55" s="74" t="str">
        <x:v>810-442-7243</x:v>
      </x:c>
      <x:c r="E55" s="74" t="str"/>
      <x:c r="F55" s="74" t="str">
        <x:v>Install + Service/Repair</x:v>
      </x:c>
      <x:c r="G55" s="76" t="n">
        <x:v>5</x:v>
      </x:c>
      <x:c r="H55" s="78" t="n">
        <x:v>154</x:v>
      </x:c>
      <x:c r="I55" s="74" t="str">
        <x:v>Flint / Genesee / Lapeer</x:v>
      </x:c>
      <x:c r="J55" s="74" t="str">
        <x:v>Current Business Index</x:v>
      </x:c>
      <x:c r="K55" s="74" t="str">
        <x:v>High</x:v>
      </x:c>
      <x:c r="L55" s="80" t="str">
        <x:v>https://www.google.com/maps/search/?api=1&amp;query=BJ%27s+Garage+Doors+Inc.+Grand+Blanc+Michigan</x:v>
      </x:c>
      <x:c r="M55" s="80" t="str"/>
      <x:c r="N55" s="74" t="str">
        <x:v>Current 2026 business-index result explicitly describes repair and installation capability.</x:v>
      </x:c>
    </x:row>
    <x:row r="56" ht="34" customHeight="1">
      <x:c r="A56" s="74" t="str">
        <x:v>Michigan Ovhd Dr &amp; Loading Dock</x:v>
      </x:c>
      <x:c r="B56" s="74" t="str">
        <x:v>560 Reid Road, Grand Blanc, MI 48439</x:v>
      </x:c>
      <x:c r="C56" s="74" t="str">
        <x:v>Grand Blanc</x:v>
      </x:c>
      <x:c r="D56" s="74" t="str">
        <x:v>810-603-2600</x:v>
      </x:c>
      <x:c r="E56" s="74" t="str"/>
      <x:c r="F56" s="74" t="str">
        <x:v>Install + Service/Repair</x:v>
      </x:c>
      <x:c r="G56" s="76"/>
      <x:c r="H56" s="78"/>
      <x:c r="I56" s="74" t="str">
        <x:v>Statewide / Clopay</x:v>
      </x:c>
      <x:c r="J56" s="74" t="str">
        <x:v>Clopay Authorized Dealer</x:v>
      </x:c>
      <x:c r="K56" s="74" t="str">
        <x:v>High</x:v>
      </x:c>
      <x:c r="L56" s="80" t="str">
        <x:v>https://www.clopaydoor.com/dealers/michigan/-page-2-</x:v>
      </x:c>
      <x:c r="M56" s="80" t="str"/>
      <x:c r="N56" s="74" t="str">
        <x:v>Clopay states its Michigan dealers provide new-door installation, time-sensitive repairs and preventive maintenance.</x:v>
      </x:c>
    </x:row>
    <x:row r="57" ht="34" customHeight="1">
      <x:c r="A57" s="74" t="str">
        <x:v>Overhead Doors &amp; More</x:v>
      </x:c>
      <x:c r="B57" s="74" t="str">
        <x:v>6434 S Dort Hwy #3, Grand Blanc, MI 48439</x:v>
      </x:c>
      <x:c r="C57" s="74" t="str">
        <x:v>Grand Blanc</x:v>
      </x:c>
      <x:c r="D57" s="74" t="str">
        <x:v>810-553-5212</x:v>
      </x:c>
      <x:c r="E57" s="74" t="str"/>
      <x:c r="F57" s="74" t="str">
        <x:v>Install + Service/Repair</x:v>
      </x:c>
      <x:c r="G57" s="76" t="n">
        <x:v>4.9</x:v>
      </x:c>
      <x:c r="H57" s="78" t="n">
        <x:v>57</x:v>
      </x:c>
      <x:c r="I57" s="74" t="str">
        <x:v>Flint / Genesee / Lapeer</x:v>
      </x:c>
      <x:c r="J57" s="74" t="str">
        <x:v>Current Business Index</x:v>
      </x:c>
      <x:c r="K57" s="74" t="str">
        <x:v>High</x:v>
      </x:c>
      <x:c r="L57" s="80" t="str">
        <x:v>https://www.google.com/maps/search/?api=1&amp;query=Overhead+Doors+%26+More+6434+S+Dort+Hwy+%233%2C+Grand+Blanc%2C+MI+48439+Michigan</x:v>
      </x:c>
      <x:c r="M57" s="80" t="str"/>
      <x:c r="N57" s="74" t="str">
        <x:v>Current 2026 business-index result explicitly describes repair and installation capability.</x:v>
      </x:c>
    </x:row>
    <x:row r="58" ht="34" customHeight="1">
      <x:c r="A58" s="74" t="str">
        <x:v>Affordable Door &amp; Gate</x:v>
      </x:c>
      <x:c r="B58" s="74" t="str">
        <x:v>14401 160th Ave, Grand Haven, MI 49417</x:v>
      </x:c>
      <x:c r="C58" s="74" t="str">
        <x:v>Grand Haven</x:v>
      </x:c>
      <x:c r="D58" s="74" t="str">
        <x:v>616-819-8763</x:v>
      </x:c>
      <x:c r="E58" s="74" t="str"/>
      <x:c r="F58" s="74" t="str">
        <x:v>Install + Service/Repair</x:v>
      </x:c>
      <x:c r="G58" s="76"/>
      <x:c r="H58" s="78" t="n">
        <x:v>0</x:v>
      </x:c>
      <x:c r="I58" s="74" t="str">
        <x:v>Muskegon / Lakeshore</x:v>
      </x:c>
      <x:c r="J58" s="74" t="str">
        <x:v>Current Business Index</x:v>
      </x:c>
      <x:c r="K58" s="74" t="str">
        <x:v>Medium</x:v>
      </x:c>
      <x:c r="L58" s="80" t="str">
        <x:v>https://www.google.com/maps/search/?api=1&amp;query=Affordable+Door+%26+Gate+14401+160th+Ave%2C+Grand+Haven%2C+MI+49417+Michigan</x:v>
      </x:c>
      <x:c r="M58" s="80" t="str"/>
      <x:c r="N58" s="74" t="str">
        <x:v>Current 2026 business-index result explicitly describes repair and installation capability.</x:v>
      </x:c>
    </x:row>
    <x:row r="59" ht="34" customHeight="1">
      <x:c r="A59" s="74" t="str">
        <x:v>ProLift Garage Doors of Grand Rapids</x:v>
      </x:c>
      <x:c r="B59" s="74" t="str"/>
      <x:c r="C59" s="74" t="str">
        <x:v>Grand Haven</x:v>
      </x:c>
      <x:c r="D59" s="74" t="str">
        <x:v>616-426-6059</x:v>
      </x:c>
      <x:c r="E59" s="74" t="str"/>
      <x:c r="F59" s="74" t="str">
        <x:v>Install + Service/Repair</x:v>
      </x:c>
      <x:c r="G59" s="76" t="n">
        <x:v>5</x:v>
      </x:c>
      <x:c r="H59" s="78" t="n">
        <x:v>536</x:v>
      </x:c>
      <x:c r="I59" s="74" t="str">
        <x:v>Grand Rapids / West Michigan</x:v>
      </x:c>
      <x:c r="J59" s="74" t="str">
        <x:v>Current Business Index</x:v>
      </x:c>
      <x:c r="K59" s="74" t="str">
        <x:v>High</x:v>
      </x:c>
      <x:c r="L59" s="80" t="str">
        <x:v>https://www.google.com/maps/search/?api=1&amp;query=ProLift+Garage+Doors+of+Grand+Rapids+Grand+Haven+Michigan</x:v>
      </x:c>
      <x:c r="M59" s="80" t="str"/>
      <x:c r="N59" s="74" t="str">
        <x:v>Current 2026 business-index result explicitly describes repair and installation capability.</x:v>
      </x:c>
    </x:row>
    <x:row r="60" ht="34" customHeight="1">
      <x:c r="A60" s="74" t="str">
        <x:v>Mid Michigan Overhead Door</x:v>
      </x:c>
      <x:c r="B60" s="74" t="str">
        <x:v>11266 Fees Rd, Grand Ledge, MI 48837</x:v>
      </x:c>
      <x:c r="C60" s="74" t="str">
        <x:v>Grand Ledge</x:v>
      </x:c>
      <x:c r="D60" s="74" t="str">
        <x:v>517-225-2027</x:v>
      </x:c>
      <x:c r="E60" s="74" t="str"/>
      <x:c r="F60" s="74" t="str">
        <x:v>Install + Service/Repair</x:v>
      </x:c>
      <x:c r="G60" s="76"/>
      <x:c r="H60" s="78" t="n">
        <x:v>0</x:v>
      </x:c>
      <x:c r="I60" s="74" t="str">
        <x:v>Lansing / Mid-Michigan</x:v>
      </x:c>
      <x:c r="J60" s="74" t="str">
        <x:v>Current Business Index</x:v>
      </x:c>
      <x:c r="K60" s="74" t="str">
        <x:v>Medium</x:v>
      </x:c>
      <x:c r="L60" s="80" t="str">
        <x:v>https://www.google.com/maps/search/?api=1&amp;query=Mid+Michigan+Overhead+Door+11266+Fees+Rd%2C+Grand+Ledge%2C+MI+48837+Michigan</x:v>
      </x:c>
      <x:c r="M60" s="80" t="str"/>
      <x:c r="N60" s="74" t="str">
        <x:v>Current 2026 business-index result explicitly describes repair and installation capability.</x:v>
      </x:c>
    </x:row>
    <x:row r="61" ht="34" customHeight="1">
      <x:c r="A61" s="74" t="str">
        <x:v>A1 Garage Door Service - Grand Rapids, MI</x:v>
      </x:c>
      <x:c r="B61" s="74" t="str">
        <x:v>3417 Roger B Chaffee Memorial Blvd SE, Suite 303, Grand Rapids, MI 49548-2323</x:v>
      </x:c>
      <x:c r="C61" s="74" t="str">
        <x:v>Grand Rapids</x:v>
      </x:c>
      <x:c r="D61" s="74" t="str">
        <x:v>616-217-3038</x:v>
      </x:c>
      <x:c r="E61" s="74" t="str"/>
      <x:c r="F61" s="74" t="str">
        <x:v>Install + Service/Repair</x:v>
      </x:c>
      <x:c r="G61" s="76"/>
      <x:c r="H61" s="78"/>
      <x:c r="I61" s="74" t="str">
        <x:v>Statewide / Clopay</x:v>
      </x:c>
      <x:c r="J61" s="74" t="str">
        <x:v>Clopay Authorized Dealer</x:v>
      </x:c>
      <x:c r="K61" s="74" t="str">
        <x:v>High</x:v>
      </x:c>
      <x:c r="L61" s="80" t="str">
        <x:v>https://www.clopaydoor.com/dealers/michigan/-page-1-</x:v>
      </x:c>
      <x:c r="M61" s="80" t="str"/>
      <x:c r="N61" s="74" t="str">
        <x:v>Clopay states its Michigan dealers provide new-door installation, time-sensitive repairs and preventive maintenance.</x:v>
      </x:c>
    </x:row>
    <x:row r="62" ht="34" customHeight="1">
      <x:c r="A62" s="74" t="str">
        <x:v>CALUMET BUILDING GROUP LTD</x:v>
      </x:c>
      <x:c r="B62" s="74" t="str">
        <x:v>5761 North Hawkeye Ct SW, Grand Rapids, MI 49509-9534</x:v>
      </x:c>
      <x:c r="C62" s="74" t="str">
        <x:v>Grand Rapids</x:v>
      </x:c>
      <x:c r="D62" s="74" t="str">
        <x:v>616-261-0500</x:v>
      </x:c>
      <x:c r="E62" s="74" t="str"/>
      <x:c r="F62" s="74" t="str">
        <x:v>Install + Service/Repair</x:v>
      </x:c>
      <x:c r="G62" s="76"/>
      <x:c r="H62" s="78"/>
      <x:c r="I62" s="74" t="str">
        <x:v>Statewide / Clopay</x:v>
      </x:c>
      <x:c r="J62" s="74" t="str">
        <x:v>Clopay Authorized Dealer</x:v>
      </x:c>
      <x:c r="K62" s="74" t="str">
        <x:v>High</x:v>
      </x:c>
      <x:c r="L62" s="80" t="str">
        <x:v>https://www.clopaydoor.com/dealers/michigan/-page-1-</x:v>
      </x:c>
      <x:c r="M62" s="80" t="str"/>
      <x:c r="N62" s="74" t="str">
        <x:v>Clopay states its Michigan dealers provide new-door installation, time-sensitive repairs and preventive maintenance.</x:v>
      </x:c>
    </x:row>
    <x:row r="63" ht="34" customHeight="1">
      <x:c r="A63" s="74" t="str">
        <x:v>Compaan Door &amp; Operator Co.</x:v>
      </x:c>
      <x:c r="B63" s="74" t="str">
        <x:v>87 54th St SW #8, Grand Rapids, MI 49548</x:v>
      </x:c>
      <x:c r="C63" s="74" t="str">
        <x:v>Grand Rapids</x:v>
      </x:c>
      <x:c r="D63" s="74" t="str">
        <x:v>616-271-6200</x:v>
      </x:c>
      <x:c r="E63" s="74" t="str"/>
      <x:c r="F63" s="74" t="str">
        <x:v>Install + Service/Repair</x:v>
      </x:c>
      <x:c r="G63" s="76" t="n">
        <x:v>4.8</x:v>
      </x:c>
      <x:c r="H63" s="78" t="n">
        <x:v>130</x:v>
      </x:c>
      <x:c r="I63" s="74" t="str">
        <x:v>Grand Rapids / West Michigan</x:v>
      </x:c>
      <x:c r="J63" s="74" t="str">
        <x:v>Current Business Index</x:v>
      </x:c>
      <x:c r="K63" s="74" t="str">
        <x:v>High</x:v>
      </x:c>
      <x:c r="L63" s="80" t="str">
        <x:v>https://www.google.com/maps/search/?api=1&amp;query=Compaan+Door+%26+Operator+Co.+87+54th+St+SW+%238%2C+Grand+Rapids%2C+MI+49548+Michigan</x:v>
      </x:c>
      <x:c r="M63" s="80" t="str"/>
      <x:c r="N63" s="74" t="str">
        <x:v>Current 2026 business-index result explicitly describes repair and installation capability.</x:v>
      </x:c>
    </x:row>
    <x:row r="64" ht="34" customHeight="1">
      <x:c r="A64" s="74" t="str">
        <x:v>DeBoer Garage Doors LLC</x:v>
      </x:c>
      <x:c r="B64" s="74" t="str">
        <x:v>1041 Woodrow Ave NW, Grand Rapids, MI 49504</x:v>
      </x:c>
      <x:c r="C64" s="74" t="str">
        <x:v>Grand Rapids</x:v>
      </x:c>
      <x:c r="D64" s="74" t="str">
        <x:v>616-432-3116</x:v>
      </x:c>
      <x:c r="E64" s="74" t="str"/>
      <x:c r="F64" s="74" t="str">
        <x:v>Install + Service/Repair</x:v>
      </x:c>
      <x:c r="G64" s="76" t="n">
        <x:v>5</x:v>
      </x:c>
      <x:c r="H64" s="78" t="n">
        <x:v>11</x:v>
      </x:c>
      <x:c r="I64" s="74" t="str">
        <x:v>Grand Rapids / West Michigan</x:v>
      </x:c>
      <x:c r="J64" s="74" t="str">
        <x:v>Current Business Index</x:v>
      </x:c>
      <x:c r="K64" s="74" t="str">
        <x:v>High</x:v>
      </x:c>
      <x:c r="L64" s="80" t="str">
        <x:v>https://www.google.com/maps/search/?api=1&amp;query=DeBoer+Garage+Doors+LLC+1041+Woodrow+Ave+NW%2C+Grand+Rapids%2C+MI+49504+Michigan</x:v>
      </x:c>
      <x:c r="M64" s="80" t="str"/>
      <x:c r="N64" s="74" t="str">
        <x:v>Current 2026 business-index result explicitly describes repair and installation capability.</x:v>
      </x:c>
    </x:row>
    <x:row r="65" ht="34" customHeight="1">
      <x:c r="A65" s="74" t="str">
        <x:v>Environmental Door</x:v>
      </x:c>
      <x:c r="B65" s="74" t="str">
        <x:v>11501 3rd Ave NW, Grand Rapids, MI 49534</x:v>
      </x:c>
      <x:c r="C65" s="74" t="str">
        <x:v>Grand Rapids</x:v>
      </x:c>
      <x:c r="D65" s="74" t="str">
        <x:v>616-453-0164</x:v>
      </x:c>
      <x:c r="E65" s="74" t="str"/>
      <x:c r="F65" s="74" t="str">
        <x:v>Install + Service/Repair</x:v>
      </x:c>
      <x:c r="G65" s="76" t="n">
        <x:v>4.5</x:v>
      </x:c>
      <x:c r="H65" s="78" t="n">
        <x:v>10</x:v>
      </x:c>
      <x:c r="I65" s="74" t="str">
        <x:v>Grand Rapids / West Michigan</x:v>
      </x:c>
      <x:c r="J65" s="74" t="str">
        <x:v>Current Business Index</x:v>
      </x:c>
      <x:c r="K65" s="74" t="str">
        <x:v>High</x:v>
      </x:c>
      <x:c r="L65" s="80" t="str">
        <x:v>https://www.google.com/maps/search/?api=1&amp;query=Environmental+Door+11501+3rd+Ave+NW%2C+Grand+Rapids%2C+MI+49534+Michigan</x:v>
      </x:c>
      <x:c r="M65" s="80" t="str"/>
      <x:c r="N65" s="74" t="str">
        <x:v>Current 2026 business-index result explicitly describes repair and installation capability.</x:v>
      </x:c>
    </x:row>
    <x:row r="66" ht="34" customHeight="1">
      <x:c r="A66" s="74" t="str">
        <x:v>Express Garage Door Repair</x:v>
      </x:c>
      <x:c r="B66" s="74" t="str">
        <x:v>28 Lafayette Ave NE Unit 5, Grand Rapids, MI 49503</x:v>
      </x:c>
      <x:c r="C66" s="74" t="str">
        <x:v>Grand Rapids</x:v>
      </x:c>
      <x:c r="D66" s="74" t="str">
        <x:v>616-282-2324</x:v>
      </x:c>
      <x:c r="E66" s="74" t="str"/>
      <x:c r="F66" s="74" t="str">
        <x:v>Install + Service/Repair</x:v>
      </x:c>
      <x:c r="G66" s="76" t="n">
        <x:v>5</x:v>
      </x:c>
      <x:c r="H66" s="78" t="n">
        <x:v>225</x:v>
      </x:c>
      <x:c r="I66" s="74" t="str">
        <x:v>Grand Rapids / West Michigan</x:v>
      </x:c>
      <x:c r="J66" s="74" t="str">
        <x:v>Current Business Index</x:v>
      </x:c>
      <x:c r="K66" s="74" t="str">
        <x:v>High</x:v>
      </x:c>
      <x:c r="L66" s="80" t="str">
        <x:v>https://www.google.com/maps/search/?api=1&amp;query=Express+Garage+Door+Repair+28+Lafayette+Ave+NE+Unit+5%2C+Grand+Rapids%2C+MI+49503+Michigan</x:v>
      </x:c>
      <x:c r="M66" s="80" t="str"/>
      <x:c r="N66" s="74" t="str">
        <x:v>Current 2026 business-index result explicitly describes repair and installation capability.</x:v>
      </x:c>
    </x:row>
    <x:row r="67" ht="34" customHeight="1">
      <x:c r="A67" s="74" t="str">
        <x:v>Fix a go Garage Door Repair</x:v>
      </x:c>
      <x:c r="B67" s="74" t="str">
        <x:v>439 Harp St SE, Grand Rapids, MI 49548</x:v>
      </x:c>
      <x:c r="C67" s="74" t="str">
        <x:v>Grand Rapids</x:v>
      </x:c>
      <x:c r="D67" s="74" t="str">
        <x:v>877-869-3135</x:v>
      </x:c>
      <x:c r="E67" s="74" t="str"/>
      <x:c r="F67" s="74" t="str">
        <x:v>Install + Service/Repair</x:v>
      </x:c>
      <x:c r="G67" s="76" t="n">
        <x:v>4.9</x:v>
      </x:c>
      <x:c r="H67" s="78" t="n">
        <x:v>132</x:v>
      </x:c>
      <x:c r="I67" s="74" t="str">
        <x:v>Grand Rapids / West Michigan</x:v>
      </x:c>
      <x:c r="J67" s="74" t="str">
        <x:v>Current Business Index</x:v>
      </x:c>
      <x:c r="K67" s="74" t="str">
        <x:v>High</x:v>
      </x:c>
      <x:c r="L67" s="80" t="str">
        <x:v>https://www.google.com/maps/search/?api=1&amp;query=Fix+a+go+Garage+Door+Repair+439+Harp+St+SE%2C+Grand+Rapids%2C+MI+49548+Michigan</x:v>
      </x:c>
      <x:c r="M67" s="80" t="str"/>
      <x:c r="N67" s="74" t="str">
        <x:v>Current 2026 business-index result explicitly describes repair and installation capability.</x:v>
      </x:c>
    </x:row>
    <x:row r="68" ht="34" customHeight="1">
      <x:c r="A68" s="74" t="str">
        <x:v>Grand Rapids Door</x:v>
      </x:c>
      <x:c r="B68" s="74" t="str"/>
      <x:c r="C68" s="74" t="str">
        <x:v>Grand Rapids</x:v>
      </x:c>
      <x:c r="D68" s="74" t="str">
        <x:v>616-466-4826</x:v>
      </x:c>
      <x:c r="E68" s="74" t="str"/>
      <x:c r="F68" s="74" t="str">
        <x:v>Install + Service/Repair</x:v>
      </x:c>
      <x:c r="G68" s="76" t="n">
        <x:v>5</x:v>
      </x:c>
      <x:c r="H68" s="78" t="n">
        <x:v>38</x:v>
      </x:c>
      <x:c r="I68" s="74" t="str">
        <x:v>Grand Rapids / West Michigan</x:v>
      </x:c>
      <x:c r="J68" s="74" t="str">
        <x:v>Current Business Index</x:v>
      </x:c>
      <x:c r="K68" s="74" t="str">
        <x:v>High</x:v>
      </x:c>
      <x:c r="L68" s="80" t="str">
        <x:v>https://www.google.com/maps/search/?api=1&amp;query=Grand+Rapids+Door+Grand+Rapids+Michigan</x:v>
      </x:c>
      <x:c r="M68" s="80" t="str"/>
      <x:c r="N68" s="74" t="str">
        <x:v>Current 2026 business-index result explicitly describes repair and installation capability.</x:v>
      </x:c>
    </x:row>
    <x:row r="69" ht="34" customHeight="1">
      <x:c r="A69" s="74" t="str">
        <x:v>Precision Garage Door of West Michigan</x:v>
      </x:c>
      <x:c r="B69" s="74" t="str"/>
      <x:c r="C69" s="74" t="str">
        <x:v>Grand Rapids</x:v>
      </x:c>
      <x:c r="D69" s="74" t="str">
        <x:v>616-239-2718</x:v>
      </x:c>
      <x:c r="E69" s="74" t="str"/>
      <x:c r="F69" s="74" t="str">
        <x:v>Install + Service/Repair</x:v>
      </x:c>
      <x:c r="G69" s="76" t="n">
        <x:v>4.8</x:v>
      </x:c>
      <x:c r="H69" s="78" t="n">
        <x:v>1927</x:v>
      </x:c>
      <x:c r="I69" s="74" t="str">
        <x:v>Grand Rapids / West Michigan</x:v>
      </x:c>
      <x:c r="J69" s="74" t="str">
        <x:v>Current Business Index</x:v>
      </x:c>
      <x:c r="K69" s="74" t="str">
        <x:v>High</x:v>
      </x:c>
      <x:c r="L69" s="80" t="str">
        <x:v>https://www.google.com/maps/search/?api=1&amp;query=Precision+Garage+Door+of+West+Michigan+Grand+Rapids+Michigan</x:v>
      </x:c>
      <x:c r="M69" s="80" t="str"/>
      <x:c r="N69" s="74" t="str">
        <x:v>Current 2026 business-index result explicitly describes repair and installation capability.</x:v>
      </x:c>
    </x:row>
    <x:row r="70" ht="34" customHeight="1">
      <x:c r="A70" s="74" t="str">
        <x:v>PROFESSIONAL OVERHEAD DOOR</x:v>
      </x:c>
      <x:c r="B70" s="74" t="str">
        <x:v>4061 PLAINFIELD AVE NE STE C, GRAND RAPIDS, MI 49525-1632</x:v>
      </x:c>
      <x:c r="C70" s="74" t="str">
        <x:v>Grand Rapids</x:v>
      </x:c>
      <x:c r="D70" s="74" t="str">
        <x:v>616-361-4477</x:v>
      </x:c>
      <x:c r="E70" s="74" t="str"/>
      <x:c r="F70" s="74" t="str">
        <x:v>Install + Service/Repair</x:v>
      </x:c>
      <x:c r="G70" s="76"/>
      <x:c r="H70" s="78"/>
      <x:c r="I70" s="74" t="str">
        <x:v>Statewide / Clopay</x:v>
      </x:c>
      <x:c r="J70" s="74" t="str">
        <x:v>Clopay Authorized Dealer</x:v>
      </x:c>
      <x:c r="K70" s="74" t="str">
        <x:v>High</x:v>
      </x:c>
      <x:c r="L70" s="80" t="str">
        <x:v>https://www.clopaydoor.com/dealers/michigan/-page-3-</x:v>
      </x:c>
      <x:c r="M70" s="80" t="str"/>
      <x:c r="N70" s="74" t="str">
        <x:v>Clopay states its Michigan dealers provide new-door installation, time-sensitive repairs and preventive maintenance.</x:v>
      </x:c>
    </x:row>
    <x:row r="71" ht="34" customHeight="1">
      <x:c r="A71" s="74" t="str">
        <x:v>Quality Door of Grand Rapids Inc</x:v>
      </x:c>
      <x:c r="B71" s="74" t="str">
        <x:v>4175 E Paris Ave SE, Grand Rapids, MI 49512</x:v>
      </x:c>
      <x:c r="C71" s="74" t="str">
        <x:v>Grand Rapids</x:v>
      </x:c>
      <x:c r="D71" s="74" t="str">
        <x:v>616-698-8868</x:v>
      </x:c>
      <x:c r="E71" s="74" t="str"/>
      <x:c r="F71" s="74" t="str">
        <x:v>Install + Service/Repair</x:v>
      </x:c>
      <x:c r="G71" s="76"/>
      <x:c r="H71" s="78"/>
      <x:c r="I71" s="74" t="str">
        <x:v>Statewide / Clopay</x:v>
      </x:c>
      <x:c r="J71" s="74" t="str">
        <x:v>Clopay Authorized Dealer</x:v>
      </x:c>
      <x:c r="K71" s="74" t="str">
        <x:v>High</x:v>
      </x:c>
      <x:c r="L71" s="80" t="str">
        <x:v>https://www.clopaydoor.com/dealers/michigan/-page-3-</x:v>
      </x:c>
      <x:c r="M71" s="80" t="str"/>
      <x:c r="N71" s="74" t="str">
        <x:v>Clopay states its Michigan dealers provide new-door installation, time-sensitive repairs and preventive maintenance.</x:v>
      </x:c>
    </x:row>
    <x:row r="72" ht="34" customHeight="1">
      <x:c r="A72" s="74" t="str">
        <x:v>JM DOOR LLC</x:v>
      </x:c>
      <x:c r="B72" s="74" t="str">
        <x:v>6289 West M-72, Grayling, MI 49738-6480</x:v>
      </x:c>
      <x:c r="C72" s="74" t="str">
        <x:v>Grayling</x:v>
      </x:c>
      <x:c r="D72" s="74" t="str">
        <x:v>989-348-6218</x:v>
      </x:c>
      <x:c r="E72" s="74" t="str"/>
      <x:c r="F72" s="74" t="str">
        <x:v>Install + Service/Repair</x:v>
      </x:c>
      <x:c r="G72" s="76"/>
      <x:c r="H72" s="78"/>
      <x:c r="I72" s="74" t="str">
        <x:v>Statewide / Clopay</x:v>
      </x:c>
      <x:c r="J72" s="74" t="str">
        <x:v>Clopay Authorized Dealer</x:v>
      </x:c>
      <x:c r="K72" s="74" t="str">
        <x:v>High</x:v>
      </x:c>
      <x:c r="L72" s="80" t="str">
        <x:v>https://www.clopaydoor.com/dealers/michigan/-page-2-</x:v>
      </x:c>
      <x:c r="M72" s="80" t="str"/>
      <x:c r="N72" s="74" t="str">
        <x:v>Clopay states its Michigan dealers provide new-door installation, time-sensitive repairs and preventive maintenance.</x:v>
      </x:c>
    </x:row>
    <x:row r="73" ht="34" customHeight="1">
      <x:c r="A73" s="74" t="str">
        <x:v>Precision Garage Door of Southeast Michigan</x:v>
      </x:c>
      <x:c r="B73" s="74" t="str">
        <x:v>20233 Mack Ave, Grosse Pointe Woods, MI 48236</x:v>
      </x:c>
      <x:c r="C73" s="74" t="str">
        <x:v>Grosse Pointe Woods</x:v>
      </x:c>
      <x:c r="D73" s="74" t="str">
        <x:v>313-355-0998</x:v>
      </x:c>
      <x:c r="E73" s="74" t="str"/>
      <x:c r="F73" s="74" t="str">
        <x:v>Install + Service/Repair</x:v>
      </x:c>
      <x:c r="G73" s="76" t="n">
        <x:v>4.7</x:v>
      </x:c>
      <x:c r="H73" s="78" t="n">
        <x:v>327</x:v>
      </x:c>
      <x:c r="I73" s="74" t="str">
        <x:v>Detroit / Southeast Michigan</x:v>
      </x:c>
      <x:c r="J73" s="74" t="str">
        <x:v>Current Business Index</x:v>
      </x:c>
      <x:c r="K73" s="74" t="str">
        <x:v>High</x:v>
      </x:c>
      <x:c r="L73" s="80" t="str">
        <x:v>https://www.google.com/maps/search/?api=1&amp;query=Precision+Garage+Door+of+Southeast+Michigan+20233+Mack+Ave%2C+Grosse+Pointe+Woods%2C+MI+48236+Michigan</x:v>
      </x:c>
      <x:c r="M73" s="80" t="str"/>
      <x:c r="N73" s="74" t="str">
        <x:v>Current 2026 business-index result explicitly describes repair and installation capability.</x:v>
      </x:c>
    </x:row>
    <x:row r="74" ht="34" customHeight="1">
      <x:c r="A74" s="74" t="str">
        <x:v>Jones &amp; Jones Garage Door Service</x:v>
      </x:c>
      <x:c r="B74" s="74" t="str">
        <x:v>7616 Sophies Way, Harbor Springs, MI 49740-8658</x:v>
      </x:c>
      <x:c r="C74" s="74" t="str">
        <x:v>Harbor Springs</x:v>
      </x:c>
      <x:c r="D74" s="74" t="str">
        <x:v>231-633-0204</x:v>
      </x:c>
      <x:c r="E74" s="74" t="str"/>
      <x:c r="F74" s="74" t="str">
        <x:v>Install + Service/Repair</x:v>
      </x:c>
      <x:c r="G74" s="76"/>
      <x:c r="H74" s="78"/>
      <x:c r="I74" s="74" t="str">
        <x:v>Statewide / Clopay</x:v>
      </x:c>
      <x:c r="J74" s="74" t="str">
        <x:v>Clopay Authorized Dealer</x:v>
      </x:c>
      <x:c r="K74" s="74" t="str">
        <x:v>High</x:v>
      </x:c>
      <x:c r="L74" s="80" t="str">
        <x:v>https://www.clopaydoor.com/dealers/michigan/-page-2-</x:v>
      </x:c>
      <x:c r="M74" s="80" t="str"/>
      <x:c r="N74" s="74" t="str">
        <x:v>Clopay states its Michigan dealers provide new-door installation, time-sensitive repairs and preventive maintenance.</x:v>
      </x:c>
    </x:row>
    <x:row r="75" ht="34" customHeight="1">
      <x:c r="A75" s="74" t="str">
        <x:v>Northeastern Window &amp; Door</x:v>
      </x:c>
      <x:c r="B75" s="74" t="str">
        <x:v>345 North US Highway 23, Harrisville, MI 48740</x:v>
      </x:c>
      <x:c r="C75" s="74" t="str">
        <x:v>Harrisville</x:v>
      </x:c>
      <x:c r="D75" s="74" t="str">
        <x:v>989-724-6393</x:v>
      </x:c>
      <x:c r="E75" s="74" t="str"/>
      <x:c r="F75" s="74" t="str">
        <x:v>Install + Service/Repair</x:v>
      </x:c>
      <x:c r="G75" s="76"/>
      <x:c r="H75" s="78"/>
      <x:c r="I75" s="74" t="str">
        <x:v>Statewide / Clopay</x:v>
      </x:c>
      <x:c r="J75" s="74" t="str">
        <x:v>Clopay Authorized Dealer</x:v>
      </x:c>
      <x:c r="K75" s="74" t="str">
        <x:v>High</x:v>
      </x:c>
      <x:c r="L75" s="80" t="str">
        <x:v>https://www.clopaydoor.com/dealers/michigan/-page-2-</x:v>
      </x:c>
      <x:c r="M75" s="80" t="str"/>
      <x:c r="N75" s="74" t="str">
        <x:v>Clopay states its Michigan dealers provide new-door installation, time-sensitive repairs and preventive maintenance.</x:v>
      </x:c>
    </x:row>
    <x:row r="76" ht="34" customHeight="1">
      <x:c r="A76" s="74" t="str">
        <x:v>Quality Door</x:v>
      </x:c>
      <x:c r="B76" s="74" t="str">
        <x:v>2481 Van Ommen Dr, Holland, MI 49424</x:v>
      </x:c>
      <x:c r="C76" s="74" t="str">
        <x:v>Holland</x:v>
      </x:c>
      <x:c r="D76" s="74" t="str">
        <x:v>616-399-3157</x:v>
      </x:c>
      <x:c r="E76" s="74" t="str"/>
      <x:c r="F76" s="74" t="str">
        <x:v>Install + Service/Repair</x:v>
      </x:c>
      <x:c r="G76" s="76"/>
      <x:c r="H76" s="78"/>
      <x:c r="I76" s="74" t="str">
        <x:v>Statewide / Clopay</x:v>
      </x:c>
      <x:c r="J76" s="74" t="str">
        <x:v>Clopay Authorized Dealer</x:v>
      </x:c>
      <x:c r="K76" s="74" t="str">
        <x:v>High</x:v>
      </x:c>
      <x:c r="L76" s="80" t="str">
        <x:v>https://www.clopaydoor.com/dealers/michigan/-page-3-</x:v>
      </x:c>
      <x:c r="M76" s="80" t="str"/>
      <x:c r="N76" s="74" t="str">
        <x:v>Clopay states its Michigan dealers provide new-door installation, time-sensitive repairs and preventive maintenance.</x:v>
      </x:c>
    </x:row>
    <x:row r="77" ht="34" customHeight="1">
      <x:c r="A77" s="74" t="str">
        <x:v>Holton Garage Doors</x:v>
      </x:c>
      <x:c r="B77" s="74" t="str">
        <x:v>8207 HOLTON ROAD, HOLTON, MI 49425-8567</x:v>
      </x:c>
      <x:c r="C77" s="74" t="str">
        <x:v>Holton</x:v>
      </x:c>
      <x:c r="D77" s="74" t="str">
        <x:v>231-821-0060</x:v>
      </x:c>
      <x:c r="E77" s="74" t="str"/>
      <x:c r="F77" s="74" t="str">
        <x:v>Install + Service/Repair</x:v>
      </x:c>
      <x:c r="G77" s="76"/>
      <x:c r="H77" s="78"/>
      <x:c r="I77" s="74" t="str">
        <x:v>Statewide / Clopay</x:v>
      </x:c>
      <x:c r="J77" s="74" t="str">
        <x:v>Clopay Authorized Dealer</x:v>
      </x:c>
      <x:c r="K77" s="74" t="str">
        <x:v>High</x:v>
      </x:c>
      <x:c r="L77" s="80" t="str">
        <x:v>https://www.clopaydoor.com/dealers/michigan/-page-2-</x:v>
      </x:c>
      <x:c r="M77" s="80" t="str"/>
      <x:c r="N77" s="74" t="str">
        <x:v>Clopay states its Michigan dealers provide new-door installation, time-sensitive repairs and preventive maintenance.</x:v>
      </x:c>
    </x:row>
    <x:row r="78" ht="34" customHeight="1">
      <x:c r="A78" s="74" t="str">
        <x:v>Discount Door Services</x:v>
      </x:c>
      <x:c r="B78" s="74" t="str">
        <x:v>25560 M-60, Homer, MI 49245</x:v>
      </x:c>
      <x:c r="C78" s="74" t="str">
        <x:v>Homer</x:v>
      </x:c>
      <x:c r="D78" s="74" t="str">
        <x:v>517-812-5665</x:v>
      </x:c>
      <x:c r="E78" s="74" t="str"/>
      <x:c r="F78" s="74" t="str">
        <x:v>Install + Service/Repair</x:v>
      </x:c>
      <x:c r="G78" s="76" t="n">
        <x:v>4.8</x:v>
      </x:c>
      <x:c r="H78" s="78" t="n">
        <x:v>27</x:v>
      </x:c>
      <x:c r="I78" s="74" t="str">
        <x:v>Jackson / South-Central Michigan</x:v>
      </x:c>
      <x:c r="J78" s="74" t="str">
        <x:v>Current Business Index</x:v>
      </x:c>
      <x:c r="K78" s="74" t="str">
        <x:v>High</x:v>
      </x:c>
      <x:c r="L78" s="80" t="str">
        <x:v>https://www.google.com/maps/search/?api=1&amp;query=Discount+Door+Services+25560+M-60%2C+Homer%2C+MI+49245+Michigan</x:v>
      </x:c>
      <x:c r="M78" s="80" t="str"/>
      <x:c r="N78" s="74" t="str">
        <x:v>Current 2026 business-index result explicitly describes repair and installation capability.</x:v>
      </x:c>
    </x:row>
    <x:row r="79" ht="34" customHeight="1">
      <x:c r="A79" s="74" t="str">
        <x:v>KEWEENAW OVERHEAD DOOR</x:v>
      </x:c>
      <x:c r="B79" s="74" t="str">
        <x:v>19825 Sharon Avenue, Houghton, MI 49931-2520</x:v>
      </x:c>
      <x:c r="C79" s="74" t="str">
        <x:v>Houghton</x:v>
      </x:c>
      <x:c r="D79" s="74" t="str">
        <x:v>906-483-3791</x:v>
      </x:c>
      <x:c r="E79" s="74" t="str"/>
      <x:c r="F79" s="74" t="str">
        <x:v>Install + Service/Repair</x:v>
      </x:c>
      <x:c r="G79" s="76"/>
      <x:c r="H79" s="78"/>
      <x:c r="I79" s="74" t="str">
        <x:v>Statewide / Clopay</x:v>
      </x:c>
      <x:c r="J79" s="74" t="str">
        <x:v>Clopay Authorized Dealer</x:v>
      </x:c>
      <x:c r="K79" s="74" t="str">
        <x:v>High</x:v>
      </x:c>
      <x:c r="L79" s="80" t="str">
        <x:v>https://www.clopaydoor.com/dealers/michigan/-page-2-</x:v>
      </x:c>
      <x:c r="M79" s="80" t="str"/>
      <x:c r="N79" s="74" t="str">
        <x:v>Clopay states its Michigan dealers provide new-door installation, time-sensitive repairs and preventive maintenance.</x:v>
      </x:c>
    </x:row>
    <x:row r="80" ht="34" customHeight="1">
      <x:c r="A80" s="74" t="str">
        <x:v>ACE Garage Door Repair</x:v>
      </x:c>
      <x:c r="B80" s="74" t="str">
        <x:v>3286 Nicolette Dr, Howell, MI 48843</x:v>
      </x:c>
      <x:c r="C80" s="74" t="str">
        <x:v>Howell</x:v>
      </x:c>
      <x:c r="D80" s="74" t="str">
        <x:v>734-474-5174</x:v>
      </x:c>
      <x:c r="E80" s="74" t="str"/>
      <x:c r="F80" s="74" t="str">
        <x:v>Install + Service/Repair</x:v>
      </x:c>
      <x:c r="G80" s="76" t="n">
        <x:v>5</x:v>
      </x:c>
      <x:c r="H80" s="78" t="n">
        <x:v>62</x:v>
      </x:c>
      <x:c r="I80" s="74" t="str">
        <x:v>Jackson / South-Central Michigan</x:v>
      </x:c>
      <x:c r="J80" s="74" t="str">
        <x:v>Current Business Index</x:v>
      </x:c>
      <x:c r="K80" s="74" t="str">
        <x:v>High</x:v>
      </x:c>
      <x:c r="L80" s="80" t="str">
        <x:v>https://www.google.com/maps/search/?api=1&amp;query=ACE+Garage+Door+Repair+3286+Nicolette+Dr%2C+Howell%2C+MI+48843+Michigan</x:v>
      </x:c>
      <x:c r="M80" s="80" t="str"/>
      <x:c r="N80" s="74" t="str">
        <x:v>Current 2026 business-index result explicitly describes repair and installation capability.</x:v>
      </x:c>
    </x:row>
    <x:row r="81" ht="34" customHeight="1">
      <x:c r="A81" s="74" t="str">
        <x:v>A1 Garage Door Service - Hudsonville, MI</x:v>
      </x:c>
      <x:c r="B81" s="74" t="str">
        <x:v>2874 Port Sheldon Street, Suite E, Hudsonville, MI 49426</x:v>
      </x:c>
      <x:c r="C81" s="74" t="str">
        <x:v>Hudsonville</x:v>
      </x:c>
      <x:c r="D81" s="74" t="str">
        <x:v>616-207-4676</x:v>
      </x:c>
      <x:c r="E81" s="74" t="str"/>
      <x:c r="F81" s="74" t="str">
        <x:v>Install + Service/Repair</x:v>
      </x:c>
      <x:c r="G81" s="76"/>
      <x:c r="H81" s="78"/>
      <x:c r="I81" s="74" t="str">
        <x:v>Statewide / Clopay</x:v>
      </x:c>
      <x:c r="J81" s="74" t="str">
        <x:v>Clopay Authorized Dealer</x:v>
      </x:c>
      <x:c r="K81" s="74" t="str">
        <x:v>High</x:v>
      </x:c>
      <x:c r="L81" s="80" t="str">
        <x:v>https://www.clopaydoor.com/dealers/michigan/-page-1-</x:v>
      </x:c>
      <x:c r="M81" s="80" t="str"/>
      <x:c r="N81" s="74" t="str">
        <x:v>Clopay states its Michigan dealers provide new-door installation, time-sensitive repairs and preventive maintenance.</x:v>
      </x:c>
    </x:row>
    <x:row r="82" ht="34" customHeight="1">
      <x:c r="A82" s="74" t="str">
        <x:v>D.L Door Installation</x:v>
      </x:c>
      <x:c r="B82" s="74" t="str">
        <x:v>3245 Van Buren St, Hudsonville, MI 49426</x:v>
      </x:c>
      <x:c r="C82" s="74" t="str">
        <x:v>Hudsonville</x:v>
      </x:c>
      <x:c r="D82" s="74" t="str">
        <x:v>616-312-3309</x:v>
      </x:c>
      <x:c r="E82" s="74" t="str"/>
      <x:c r="F82" s="74" t="str">
        <x:v>Install + Service/Repair</x:v>
      </x:c>
      <x:c r="G82" s="76" t="n">
        <x:v>5</x:v>
      </x:c>
      <x:c r="H82" s="78" t="n">
        <x:v>89</x:v>
      </x:c>
      <x:c r="I82" s="74" t="str">
        <x:v>Grand Rapids / West Michigan</x:v>
      </x:c>
      <x:c r="J82" s="74" t="str">
        <x:v>Current Business Index</x:v>
      </x:c>
      <x:c r="K82" s="74" t="str">
        <x:v>High</x:v>
      </x:c>
      <x:c r="L82" s="80" t="str">
        <x:v>https://www.google.com/maps/search/?api=1&amp;query=D.L+Door+Installation+3245+Van+Buren+St%2C+Hudsonville%2C+MI+49426+Michigan</x:v>
      </x:c>
      <x:c r="M82" s="80" t="str"/>
      <x:c r="N82" s="74" t="str">
        <x:v>Current 2026 business-index result explicitly describes repair and installation capability.</x:v>
      </x:c>
    </x:row>
    <x:row r="83" ht="34" customHeight="1">
      <x:c r="A83" s="74" t="str">
        <x:v>Rapid Garage Door Service</x:v>
      </x:c>
      <x:c r="B83" s="74" t="str"/>
      <x:c r="C83" s="74" t="str">
        <x:v>Hudsonville</x:v>
      </x:c>
      <x:c r="D83" s="74" t="str">
        <x:v>616-647-8727</x:v>
      </x:c>
      <x:c r="E83" s="74" t="str"/>
      <x:c r="F83" s="74" t="str">
        <x:v>Install + Service/Repair</x:v>
      </x:c>
      <x:c r="G83" s="76" t="n">
        <x:v>5</x:v>
      </x:c>
      <x:c r="H83" s="78" t="n">
        <x:v>118</x:v>
      </x:c>
      <x:c r="I83" s="74" t="str">
        <x:v>Grand Rapids / West Michigan</x:v>
      </x:c>
      <x:c r="J83" s="74" t="str">
        <x:v>Current Business Index</x:v>
      </x:c>
      <x:c r="K83" s="74" t="str">
        <x:v>High</x:v>
      </x:c>
      <x:c r="L83" s="80" t="str">
        <x:v>https://www.google.com/maps/search/?api=1&amp;query=Rapid+Garage+Door+Service+Hudsonville+Michigan</x:v>
      </x:c>
      <x:c r="M83" s="80" t="str"/>
      <x:c r="N83" s="74" t="str">
        <x:v>Current 2026 business-index result explicitly describes repair and installation capability.</x:v>
      </x:c>
    </x:row>
    <x:row r="84" ht="34" customHeight="1">
      <x:c r="A84" s="74" t="str">
        <x:v>All Day Garage Door Services LLC</x:v>
      </x:c>
      <x:c r="B84" s="74" t="str">
        <x:v>2488 Fashion Ave, Interlochen, MI 49643</x:v>
      </x:c>
      <x:c r="C84" s="74" t="str">
        <x:v>Interlochen</x:v>
      </x:c>
      <x:c r="D84" s="74" t="str">
        <x:v>231-392-9483</x:v>
      </x:c>
      <x:c r="E84" s="74" t="str"/>
      <x:c r="F84" s="74" t="str">
        <x:v>Install + Service/Repair</x:v>
      </x:c>
      <x:c r="G84" s="76" t="n">
        <x:v>5</x:v>
      </x:c>
      <x:c r="H84" s="78" t="n">
        <x:v>3</x:v>
      </x:c>
      <x:c r="I84" s="74" t="str">
        <x:v>Traverse City / Northern Michigan</x:v>
      </x:c>
      <x:c r="J84" s="74" t="str">
        <x:v>Current Business Index</x:v>
      </x:c>
      <x:c r="K84" s="74" t="str">
        <x:v>Medium</x:v>
      </x:c>
      <x:c r="L84" s="80" t="str">
        <x:v>https://www.google.com/maps/search/?api=1&amp;query=All+Day+Garage+Door+Services+LLC+2488+Fashion+Ave%2C+Interlochen%2C+MI+49643+Michigan</x:v>
      </x:c>
      <x:c r="M84" s="80" t="str"/>
      <x:c r="N84" s="74" t="str">
        <x:v>Current 2026 business-index result explicitly describes repair and installation capability.</x:v>
      </x:c>
    </x:row>
    <x:row r="85" ht="34" customHeight="1">
      <x:c r="A85" s="74" t="str">
        <x:v>City Wide Door Co</x:v>
      </x:c>
      <x:c r="B85" s="74" t="str">
        <x:v>9451 MARINE CITY HIGHWAY, IRA, MI 48023-1224</x:v>
      </x:c>
      <x:c r="C85" s="74" t="str">
        <x:v>Ira</x:v>
      </x:c>
      <x:c r="D85" s="74" t="str">
        <x:v>586-716-9990</x:v>
      </x:c>
      <x:c r="E85" s="74" t="str"/>
      <x:c r="F85" s="74" t="str">
        <x:v>Install + Service/Repair</x:v>
      </x:c>
      <x:c r="G85" s="76"/>
      <x:c r="H85" s="78"/>
      <x:c r="I85" s="74" t="str">
        <x:v>Statewide / Clopay</x:v>
      </x:c>
      <x:c r="J85" s="74" t="str">
        <x:v>Clopay Authorized Dealer</x:v>
      </x:c>
      <x:c r="K85" s="74" t="str">
        <x:v>High</x:v>
      </x:c>
      <x:c r="L85" s="80" t="str">
        <x:v>https://www.clopaydoor.com/dealers/michigan/-page-1-</x:v>
      </x:c>
      <x:c r="M85" s="80" t="str"/>
      <x:c r="N85" s="74" t="str">
        <x:v>Clopay states its Michigan dealers provide new-door installation, time-sensitive repairs and preventive maintenance.</x:v>
      </x:c>
    </x:row>
    <x:row r="86" ht="34" customHeight="1">
      <x:c r="A86" s="74" t="str">
        <x:v>Overhead Door Company of Jackson</x:v>
      </x:c>
      <x:c r="B86" s="74" t="str">
        <x:v>440 E Prospect St, Jackson, MI 49203</x:v>
      </x:c>
      <x:c r="C86" s="74" t="str">
        <x:v>Jackson</x:v>
      </x:c>
      <x:c r="D86" s="74" t="str">
        <x:v>517-784-3328</x:v>
      </x:c>
      <x:c r="E86" s="74" t="str"/>
      <x:c r="F86" s="74" t="str">
        <x:v>Install + Service/Repair</x:v>
      </x:c>
      <x:c r="G86" s="76" t="n">
        <x:v>4.2</x:v>
      </x:c>
      <x:c r="H86" s="78" t="n">
        <x:v>9</x:v>
      </x:c>
      <x:c r="I86" s="74" t="str">
        <x:v>Jackson / South-Central Michigan</x:v>
      </x:c>
      <x:c r="J86" s="74" t="str">
        <x:v>Current Business Index</x:v>
      </x:c>
      <x:c r="K86" s="74" t="str">
        <x:v>Medium</x:v>
      </x:c>
      <x:c r="L86" s="80" t="str">
        <x:v>https://www.google.com/maps/search/?api=1&amp;query=Overhead+Door+Company+of+Jackson+440+E+Prospect+St%2C+Jackson%2C+MI+49203+Michigan</x:v>
      </x:c>
      <x:c r="M86" s="80" t="str"/>
      <x:c r="N86" s="74" t="str">
        <x:v>Current 2026 business-index result explicitly describes repair and installation capability.</x:v>
      </x:c>
    </x:row>
    <x:row r="87" ht="34" customHeight="1">
      <x:c r="A87" s="74" t="str">
        <x:v>Blitz Garage Door Repair</x:v>
      </x:c>
      <x:c r="B87" s="74" t="str">
        <x:v>3651 Midlink Dr, Kalamazoo, MI 49001</x:v>
      </x:c>
      <x:c r="C87" s="74" t="str">
        <x:v>Kalamazoo</x:v>
      </x:c>
      <x:c r="D87" s="74" t="str">
        <x:v>269-230-3297</x:v>
      </x:c>
      <x:c r="E87" s="74" t="str"/>
      <x:c r="F87" s="74" t="str">
        <x:v>Install + Service/Repair</x:v>
      </x:c>
      <x:c r="G87" s="76" t="n">
        <x:v>5</x:v>
      </x:c>
      <x:c r="H87" s="78" t="n">
        <x:v>80</x:v>
      </x:c>
      <x:c r="I87" s="74" t="str">
        <x:v>Kalamazoo / Southwest Michigan</x:v>
      </x:c>
      <x:c r="J87" s="74" t="str">
        <x:v>Current Business Index</x:v>
      </x:c>
      <x:c r="K87" s="74" t="str">
        <x:v>High</x:v>
      </x:c>
      <x:c r="L87" s="80" t="str">
        <x:v>https://www.google.com/maps/search/?api=1&amp;query=Blitz+Garage+Door+Repair+3651+Midlink+Dr%2C+Kalamazoo%2C+MI+49001+Michigan</x:v>
      </x:c>
      <x:c r="M87" s="80" t="str"/>
      <x:c r="N87" s="74" t="str">
        <x:v>Current 2026 business-index result explicitly describes repair and installation capability.</x:v>
      </x:c>
    </x:row>
    <x:row r="88" ht="34" customHeight="1">
      <x:c r="A88" s="74" t="str">
        <x:v>GARY GARAGE DOOR LLC</x:v>
      </x:c>
      <x:c r="B88" s="74" t="str">
        <x:v>5166 Pathfinder St Unit 110, Kalamazoo, MI 49009</x:v>
      </x:c>
      <x:c r="C88" s="74" t="str">
        <x:v>Kalamazoo</x:v>
      </x:c>
      <x:c r="D88" s="74" t="str">
        <x:v>269-575-6564</x:v>
      </x:c>
      <x:c r="E88" s="74" t="str"/>
      <x:c r="F88" s="74" t="str">
        <x:v>Install + Service/Repair</x:v>
      </x:c>
      <x:c r="G88" s="76" t="n">
        <x:v>4.6</x:v>
      </x:c>
      <x:c r="H88" s="78" t="n">
        <x:v>55</x:v>
      </x:c>
      <x:c r="I88" s="74" t="str">
        <x:v>Kalamazoo / Southwest Michigan</x:v>
      </x:c>
      <x:c r="J88" s="74" t="str">
        <x:v>Current Business Index</x:v>
      </x:c>
      <x:c r="K88" s="74" t="str">
        <x:v>High</x:v>
      </x:c>
      <x:c r="L88" s="80" t="str">
        <x:v>https://www.google.com/maps/search/?api=1&amp;query=GARY+GARAGE+DOOR+LLC+5166+Pathfinder+St+Unit+110%2C+Kalamazoo%2C+MI+49009+Michigan</x:v>
      </x:c>
      <x:c r="M88" s="80" t="str"/>
      <x:c r="N88" s="74" t="str">
        <x:v>Current 2026 business-index result explicitly describes repair and installation capability.</x:v>
      </x:c>
    </x:row>
    <x:row r="89" ht="34" customHeight="1">
      <x:c r="A89" s="74" t="str">
        <x:v>Overhead Door Company of Kalamazoo</x:v>
      </x:c>
      <x:c r="B89" s="74" t="str">
        <x:v>5291 Wynn Rd, Kalamazoo, MI 49048</x:v>
      </x:c>
      <x:c r="C89" s="74" t="str">
        <x:v>Kalamazoo</x:v>
      </x:c>
      <x:c r="D89" s="74" t="str">
        <x:v>269-381-9570</x:v>
      </x:c>
      <x:c r="E89" s="74" t="str"/>
      <x:c r="F89" s="74" t="str">
        <x:v>Install + Service/Repair</x:v>
      </x:c>
      <x:c r="G89" s="76" t="n">
        <x:v>4.1</x:v>
      </x:c>
      <x:c r="H89" s="78" t="n">
        <x:v>8</x:v>
      </x:c>
      <x:c r="I89" s="74" t="str">
        <x:v>Kalamazoo / Southwest Michigan</x:v>
      </x:c>
      <x:c r="J89" s="74" t="str">
        <x:v>Current Business Index</x:v>
      </x:c>
      <x:c r="K89" s="74" t="str">
        <x:v>Medium</x:v>
      </x:c>
      <x:c r="L89" s="80" t="str">
        <x:v>https://www.google.com/maps/search/?api=1&amp;query=Overhead+Door+Company+of+Kalamazoo+5291+Wynn+Rd%2C+Kalamazoo%2C+MI+49048+Michigan</x:v>
      </x:c>
      <x:c r="M89" s="80" t="str"/>
      <x:c r="N89" s="74" t="str">
        <x:v>Current 2026 business-index result explicitly describes repair and installation capability.</x:v>
      </x:c>
    </x:row>
    <x:row r="90" ht="34" customHeight="1">
      <x:c r="A90" s="74" t="str">
        <x:v>Precision Garage Door of West Michigan (Kalamazoo)</x:v>
      </x:c>
      <x:c r="B90" s="74" t="str">
        <x:v>5955 W Main St Ste 503, Kalamazoo, MI 49009</x:v>
      </x:c>
      <x:c r="C90" s="74" t="str">
        <x:v>Kalamazoo</x:v>
      </x:c>
      <x:c r="D90" s="74" t="str">
        <x:v>269-218-0623</x:v>
      </x:c>
      <x:c r="E90" s="74" t="str"/>
      <x:c r="F90" s="74" t="str">
        <x:v>Install + Service/Repair</x:v>
      </x:c>
      <x:c r="G90" s="76" t="n">
        <x:v>4.8</x:v>
      </x:c>
      <x:c r="H90" s="78" t="n">
        <x:v>350</x:v>
      </x:c>
      <x:c r="I90" s="74" t="str">
        <x:v>Kalamazoo / Southwest Michigan</x:v>
      </x:c>
      <x:c r="J90" s="74" t="str">
        <x:v>Current Business Index</x:v>
      </x:c>
      <x:c r="K90" s="74" t="str">
        <x:v>High</x:v>
      </x:c>
      <x:c r="L90" s="80" t="str">
        <x:v>https://www.google.com/maps/search/?api=1&amp;query=Precision+Garage+Door+of+West+Michigan+%28Kalamazoo%29+5955+W+Main+St+Ste+503%2C+Kalamazoo%2C+MI+49009+Michigan</x:v>
      </x:c>
      <x:c r="M90" s="80" t="str"/>
      <x:c r="N90" s="74" t="str">
        <x:v>Current 2026 business-index result explicitly describes repair and installation capability.</x:v>
      </x:c>
    </x:row>
    <x:row r="91" ht="34" customHeight="1">
      <x:c r="A91" s="74" t="str">
        <x:v>Accurate Garage Door Services</x:v>
      </x:c>
      <x:c r="B91" s="74" t="str">
        <x:v>8568 County Rd 612 NE, Kalkaska, MI 49646</x:v>
      </x:c>
      <x:c r="C91" s="74" t="str">
        <x:v>Kalkaska</x:v>
      </x:c>
      <x:c r="D91" s="74" t="str">
        <x:v>231-886-8320</x:v>
      </x:c>
      <x:c r="E91" s="74" t="str"/>
      <x:c r="F91" s="74" t="str">
        <x:v>Install + Service/Repair</x:v>
      </x:c>
      <x:c r="G91" s="76"/>
      <x:c r="H91" s="78" t="n">
        <x:v>0</x:v>
      </x:c>
      <x:c r="I91" s="74" t="str">
        <x:v>Traverse City / Northern Michigan</x:v>
      </x:c>
      <x:c r="J91" s="74" t="str">
        <x:v>Current Business Index</x:v>
      </x:c>
      <x:c r="K91" s="74" t="str">
        <x:v>Medium</x:v>
      </x:c>
      <x:c r="L91" s="80" t="str">
        <x:v>https://www.google.com/maps/search/?api=1&amp;query=Accurate+Garage+Door+Services+8568+County+Rd+612+NE%2C+Kalkaska%2C+MI+49646+Michigan</x:v>
      </x:c>
      <x:c r="M91" s="80" t="str"/>
      <x:c r="N91" s="74" t="str">
        <x:v>Current 2026 business-index result explicitly describes repair and installation capability.</x:v>
      </x:c>
    </x:row>
    <x:row r="92" ht="34" customHeight="1">
      <x:c r="A92" s="74" t="str">
        <x:v>Crawford Door Company Of St Clair County</x:v>
      </x:c>
      <x:c r="B92" s="74" t="str">
        <x:v>5400 Lapeer Rd, Kimball, MI 48074</x:v>
      </x:c>
      <x:c r="C92" s="74" t="str">
        <x:v>Kimball</x:v>
      </x:c>
      <x:c r="D92" s="74" t="str">
        <x:v>810-987-5585</x:v>
      </x:c>
      <x:c r="E92" s="74" t="str"/>
      <x:c r="F92" s="74" t="str">
        <x:v>Install + Service/Repair</x:v>
      </x:c>
      <x:c r="G92" s="76"/>
      <x:c r="H92" s="78" t="n">
        <x:v>0</x:v>
      </x:c>
      <x:c r="I92" s="74" t="str">
        <x:v>Port Huron / St. Clair-Macomb</x:v>
      </x:c>
      <x:c r="J92" s="74" t="str">
        <x:v>Current Business Index</x:v>
      </x:c>
      <x:c r="K92" s="74" t="str">
        <x:v>Medium</x:v>
      </x:c>
      <x:c r="L92" s="80" t="str">
        <x:v>https://www.google.com/maps/search/?api=1&amp;query=Crawford+Door+Company+Of+St+Clair+County+5400+Lapeer+Rd%2C+Kimball%2C+MI+48074+Michigan</x:v>
      </x:c>
      <x:c r="M92" s="80" t="str"/>
      <x:c r="N92" s="74" t="str">
        <x:v>Current 2026 business-index result explicitly describes repair and installation capability.</x:v>
      </x:c>
    </x:row>
    <x:row r="93" ht="34" customHeight="1">
      <x:c r="A93" s="74" t="str">
        <x:v>Macks Garage Door Service &amp; Repair</x:v>
      </x:c>
      <x:c r="B93" s="74" t="str">
        <x:v>4232 S Garfield Rd, Kingsley, MI 49649</x:v>
      </x:c>
      <x:c r="C93" s="74" t="str">
        <x:v>Kingsley</x:v>
      </x:c>
      <x:c r="D93" s="74" t="str">
        <x:v>231-920-4482</x:v>
      </x:c>
      <x:c r="E93" s="74" t="str"/>
      <x:c r="F93" s="74" t="str">
        <x:v>Install + Service/Repair</x:v>
      </x:c>
      <x:c r="G93" s="76" t="n">
        <x:v>4.4</x:v>
      </x:c>
      <x:c r="H93" s="78" t="n">
        <x:v>14</x:v>
      </x:c>
      <x:c r="I93" s="74" t="str">
        <x:v>Traverse City / Northern Michigan</x:v>
      </x:c>
      <x:c r="J93" s="74" t="str">
        <x:v>Current Business Index</x:v>
      </x:c>
      <x:c r="K93" s="74" t="str">
        <x:v>High</x:v>
      </x:c>
      <x:c r="L93" s="80" t="str">
        <x:v>https://www.google.com/maps/search/?api=1&amp;query=Macks+Garage+Door+Service+%26+Repair+4232+S+Garfield+Rd%2C+Kingsley%2C+MI+49649+Michigan</x:v>
      </x:c>
      <x:c r="M93" s="80" t="str"/>
      <x:c r="N93" s="74" t="str">
        <x:v>Current 2026 business-index result explicitly describes repair and installation capability.</x:v>
      </x:c>
    </x:row>
    <x:row r="94" ht="34" customHeight="1">
      <x:c r="A94" s="74" t="str">
        <x:v>A1 Garage Doors</x:v>
      </x:c>
      <x:c r="B94" s="74" t="str">
        <x:v>6241 W Kallio Rd, Kinross, MI 49752-9114</x:v>
      </x:c>
      <x:c r="C94" s="74" t="str">
        <x:v>Kinross</x:v>
      </x:c>
      <x:c r="D94" s="74" t="str">
        <x:v>906-322-5637</x:v>
      </x:c>
      <x:c r="E94" s="74" t="str"/>
      <x:c r="F94" s="74" t="str">
        <x:v>Install + Service/Repair</x:v>
      </x:c>
      <x:c r="G94" s="76"/>
      <x:c r="H94" s="78"/>
      <x:c r="I94" s="74" t="str">
        <x:v>Statewide / Clopay</x:v>
      </x:c>
      <x:c r="J94" s="74" t="str">
        <x:v>Clopay Authorized Dealer</x:v>
      </x:c>
      <x:c r="K94" s="74" t="str">
        <x:v>High</x:v>
      </x:c>
      <x:c r="L94" s="80" t="str">
        <x:v>https://www.clopaydoor.com/dealers/michigan/-page-1-</x:v>
      </x:c>
      <x:c r="M94" s="80" t="str"/>
      <x:c r="N94" s="74" t="str">
        <x:v>Clopay states its Michigan dealers provide new-door installation, time-sensitive repairs and preventive maintenance.</x:v>
      </x:c>
    </x:row>
    <x:row r="95" ht="34" customHeight="1">
      <x:c r="A95" s="74" t="str">
        <x:v>GABBARD OVERHEAD DOOR</x:v>
      </x:c>
      <x:c r="B95" s="74" t="str">
        <x:v>8733 COLBY LAKE ROAD, LAINGSBURG, MI 48848-9726</x:v>
      </x:c>
      <x:c r="C95" s="74" t="str">
        <x:v>Laingsburg</x:v>
      </x:c>
      <x:c r="D95" s="74" t="str">
        <x:v>517-651-2412</x:v>
      </x:c>
      <x:c r="E95" s="74" t="str"/>
      <x:c r="F95" s="74" t="str">
        <x:v>Install + Service/Repair</x:v>
      </x:c>
      <x:c r="G95" s="76"/>
      <x:c r="H95" s="78"/>
      <x:c r="I95" s="74" t="str">
        <x:v>Statewide / Clopay</x:v>
      </x:c>
      <x:c r="J95" s="74" t="str">
        <x:v>Clopay Authorized Dealer</x:v>
      </x:c>
      <x:c r="K95" s="74" t="str">
        <x:v>High</x:v>
      </x:c>
      <x:c r="L95" s="80" t="str">
        <x:v>https://www.clopaydoor.com/dealers/michigan/-page-1-</x:v>
      </x:c>
      <x:c r="M95" s="80" t="str"/>
      <x:c r="N95" s="74" t="str">
        <x:v>Clopay states its Michigan dealers provide new-door installation, time-sensitive repairs and preventive maintenance.</x:v>
      </x:c>
    </x:row>
    <x:row r="96" ht="34" customHeight="1">
      <x:c r="A96" s="74" t="str">
        <x:v>A1 Garage Door Service - Lansing, MI</x:v>
      </x:c>
      <x:c r="B96" s="74" t="str">
        <x:v>815 West Edgewood Boulevard, Ste E, Lansing, MI 48911-7515</x:v>
      </x:c>
      <x:c r="C96" s="74" t="str">
        <x:v>Lansing</x:v>
      </x:c>
      <x:c r="D96" s="74" t="str">
        <x:v>866-466-1899</x:v>
      </x:c>
      <x:c r="E96" s="74" t="str"/>
      <x:c r="F96" s="74" t="str">
        <x:v>Install + Service/Repair</x:v>
      </x:c>
      <x:c r="G96" s="76"/>
      <x:c r="H96" s="78"/>
      <x:c r="I96" s="74" t="str">
        <x:v>Statewide / Clopay</x:v>
      </x:c>
      <x:c r="J96" s="74" t="str">
        <x:v>Clopay Authorized Dealer</x:v>
      </x:c>
      <x:c r="K96" s="74" t="str">
        <x:v>High</x:v>
      </x:c>
      <x:c r="L96" s="80" t="str">
        <x:v>https://www.clopaydoor.com/dealers/michigan/-page-1-</x:v>
      </x:c>
      <x:c r="M96" s="80" t="str"/>
      <x:c r="N96" s="74" t="str">
        <x:v>Clopay states its Michigan dealers provide new-door installation, time-sensitive repairs and preventive maintenance.</x:v>
      </x:c>
    </x:row>
    <x:row r="97" ht="34" customHeight="1">
      <x:c r="A97" s="74" t="str">
        <x:v>All American Garage Doors</x:v>
      </x:c>
      <x:c r="B97" s="74" t="str"/>
      <x:c r="C97" s="74" t="str">
        <x:v>Lansing</x:v>
      </x:c>
      <x:c r="D97" s="74" t="str">
        <x:v>517-974-4020</x:v>
      </x:c>
      <x:c r="E97" s="74" t="str"/>
      <x:c r="F97" s="74" t="str">
        <x:v>Install + Service/Repair</x:v>
      </x:c>
      <x:c r="G97" s="76" t="n">
        <x:v>5</x:v>
      </x:c>
      <x:c r="H97" s="78" t="n">
        <x:v>20</x:v>
      </x:c>
      <x:c r="I97" s="74" t="str">
        <x:v>Lansing / Mid-Michigan</x:v>
      </x:c>
      <x:c r="J97" s="74" t="str">
        <x:v>Current Business Index</x:v>
      </x:c>
      <x:c r="K97" s="74" t="str">
        <x:v>High</x:v>
      </x:c>
      <x:c r="L97" s="80" t="str">
        <x:v>https://www.google.com/maps/search/?api=1&amp;query=All+American+Garage+Doors+Lansing+Michigan</x:v>
      </x:c>
      <x:c r="M97" s="80" t="str"/>
      <x:c r="N97" s="74" t="str">
        <x:v>Current 2026 business-index result explicitly describes repair and installation capability.</x:v>
      </x:c>
    </x:row>
    <x:row r="98" ht="34" customHeight="1">
      <x:c r="A98" s="74" t="str">
        <x:v>Door Service LLC</x:v>
      </x:c>
      <x:c r="B98" s="74" t="str"/>
      <x:c r="C98" s="74" t="str">
        <x:v>Lansing</x:v>
      </x:c>
      <x:c r="D98" s="74" t="str">
        <x:v>517-507-8781</x:v>
      </x:c>
      <x:c r="E98" s="74" t="str"/>
      <x:c r="F98" s="74" t="str">
        <x:v>Install + Service/Repair</x:v>
      </x:c>
      <x:c r="G98" s="76" t="n">
        <x:v>4.9</x:v>
      </x:c>
      <x:c r="H98" s="78" t="n">
        <x:v>90</x:v>
      </x:c>
      <x:c r="I98" s="74" t="str">
        <x:v>Lansing / Mid-Michigan</x:v>
      </x:c>
      <x:c r="J98" s="74" t="str">
        <x:v>Current Business Index</x:v>
      </x:c>
      <x:c r="K98" s="74" t="str">
        <x:v>High</x:v>
      </x:c>
      <x:c r="L98" s="80" t="str">
        <x:v>https://www.google.com/maps/search/?api=1&amp;query=Door+Service+LLC+Lansing+Michigan</x:v>
      </x:c>
      <x:c r="M98" s="80" t="str"/>
      <x:c r="N98" s="74" t="str">
        <x:v>Current 2026 business-index result explicitly describes repair and installation capability.</x:v>
      </x:c>
    </x:row>
    <x:row r="99" ht="34" customHeight="1">
      <x:c r="A99" s="74" t="str">
        <x:v>Dover Doors &amp; Windows (Lansing)</x:v>
      </x:c>
      <x:c r="B99" s="74" t="str">
        <x:v>3110 Turner Rd Unit E, Lansing, MI 48906</x:v>
      </x:c>
      <x:c r="C99" s="74" t="str">
        <x:v>Lansing</x:v>
      </x:c>
      <x:c r="D99" s="74" t="str">
        <x:v>517-329-5090</x:v>
      </x:c>
      <x:c r="E99" s="74" t="str"/>
      <x:c r="F99" s="74" t="str">
        <x:v>Install + Service/Repair</x:v>
      </x:c>
      <x:c r="G99" s="76" t="n">
        <x:v>4.9</x:v>
      </x:c>
      <x:c r="H99" s="78" t="n">
        <x:v>55</x:v>
      </x:c>
      <x:c r="I99" s="74" t="str">
        <x:v>Lansing / Mid-Michigan</x:v>
      </x:c>
      <x:c r="J99" s="74" t="str">
        <x:v>Current Business Index</x:v>
      </x:c>
      <x:c r="K99" s="74" t="str">
        <x:v>High</x:v>
      </x:c>
      <x:c r="L99" s="80" t="str">
        <x:v>https://www.google.com/maps/search/?api=1&amp;query=Dover+Doors+%26+Windows+%28Lansing%29+3110+Turner+Rd+Unit+E%2C+Lansing%2C+MI+48906+Michigan</x:v>
      </x:c>
      <x:c r="M99" s="80" t="str"/>
      <x:c r="N99" s="74" t="str">
        <x:v>Current 2026 business-index result explicitly describes repair and installation capability.</x:v>
      </x:c>
    </x:row>
    <x:row r="100" ht="34" customHeight="1">
      <x:c r="A100" s="74" t="str">
        <x:v>Grand River Garage Door</x:v>
      </x:c>
      <x:c r="B100" s="74" t="str">
        <x:v>3022 Vine St, Lansing, MI 48912</x:v>
      </x:c>
      <x:c r="C100" s="74" t="str">
        <x:v>Lansing</x:v>
      </x:c>
      <x:c r="D100" s="74" t="str">
        <x:v>517-325-9005</x:v>
      </x:c>
      <x:c r="E100" s="74" t="str"/>
      <x:c r="F100" s="74" t="str">
        <x:v>Install + Service/Repair</x:v>
      </x:c>
      <x:c r="G100" s="76" t="n">
        <x:v>5</x:v>
      </x:c>
      <x:c r="H100" s="78" t="n">
        <x:v>267</x:v>
      </x:c>
      <x:c r="I100" s="74" t="str">
        <x:v>Lansing / Mid-Michigan</x:v>
      </x:c>
      <x:c r="J100" s="74" t="str">
        <x:v>Current Business Index</x:v>
      </x:c>
      <x:c r="K100" s="74" t="str">
        <x:v>High</x:v>
      </x:c>
      <x:c r="L100" s="80" t="str">
        <x:v>https://www.google.com/maps/search/?api=1&amp;query=Grand+River+Garage+Door+3022+Vine+St%2C+Lansing%2C+MI+48912+Michigan</x:v>
      </x:c>
      <x:c r="M100" s="80" t="str"/>
      <x:c r="N100" s="74" t="str">
        <x:v>Current 2026 business-index result explicitly describes repair and installation capability.</x:v>
      </x:c>
    </x:row>
    <x:row r="101" ht="34" customHeight="1">
      <x:c r="A101" s="74" t="str">
        <x:v>INGSTRUP CONSTRUCTION INC</x:v>
      </x:c>
      <x:c r="B101" s="74" t="str">
        <x:v>4624 S CREYTS RD, LANSING, MI 48917-8596</x:v>
      </x:c>
      <x:c r="C101" s="74" t="str">
        <x:v>Lansing</x:v>
      </x:c>
      <x:c r="D101" s="74" t="str">
        <x:v>517-374-4731</x:v>
      </x:c>
      <x:c r="E101" s="74" t="str"/>
      <x:c r="F101" s="74" t="str">
        <x:v>Install + Service/Repair</x:v>
      </x:c>
      <x:c r="G101" s="76"/>
      <x:c r="H101" s="78"/>
      <x:c r="I101" s="74" t="str">
        <x:v>Statewide / Clopay</x:v>
      </x:c>
      <x:c r="J101" s="74" t="str">
        <x:v>Clopay Authorized Dealer</x:v>
      </x:c>
      <x:c r="K101" s="74" t="str">
        <x:v>High</x:v>
      </x:c>
      <x:c r="L101" s="80" t="str">
        <x:v>https://www.clopaydoor.com/dealers/michigan/-page-2-</x:v>
      </x:c>
      <x:c r="M101" s="80" t="str"/>
      <x:c r="N101" s="74" t="str">
        <x:v>Clopay states its Michigan dealers provide new-door installation, time-sensitive repairs and preventive maintenance.</x:v>
      </x:c>
    </x:row>
    <x:row r="102" ht="34" customHeight="1">
      <x:c r="A102" s="74" t="str">
        <x:v>Lansing Door</x:v>
      </x:c>
      <x:c r="B102" s="74" t="str"/>
      <x:c r="C102" s="74" t="str">
        <x:v>Lansing</x:v>
      </x:c>
      <x:c r="D102" s="74" t="str">
        <x:v>517-899-2248</x:v>
      </x:c>
      <x:c r="E102" s="74" t="str"/>
      <x:c r="F102" s="74" t="str">
        <x:v>Install + Service/Repair</x:v>
      </x:c>
      <x:c r="G102" s="76" t="n">
        <x:v>5</x:v>
      </x:c>
      <x:c r="H102" s="78" t="n">
        <x:v>10</x:v>
      </x:c>
      <x:c r="I102" s="74" t="str">
        <x:v>Lansing / Mid-Michigan</x:v>
      </x:c>
      <x:c r="J102" s="74" t="str">
        <x:v>Current Business Index</x:v>
      </x:c>
      <x:c r="K102" s="74" t="str">
        <x:v>High</x:v>
      </x:c>
      <x:c r="L102" s="80" t="str">
        <x:v>https://www.google.com/maps/search/?api=1&amp;query=Lansing+Door+Lansing+Michigan</x:v>
      </x:c>
      <x:c r="M102" s="80" t="str"/>
      <x:c r="N102" s="74" t="str">
        <x:v>Current 2026 business-index result explicitly describes repair and installation capability.</x:v>
      </x:c>
    </x:row>
    <x:row r="103" ht="34" customHeight="1">
      <x:c r="A103" s="74" t="str">
        <x:v>Precision Garage Door of Mid Michigan</x:v>
      </x:c>
      <x:c r="B103" s="74" t="str"/>
      <x:c r="C103" s="74" t="str">
        <x:v>Lansing</x:v>
      </x:c>
      <x:c r="D103" s="74" t="str">
        <x:v>517-225-2928</x:v>
      </x:c>
      <x:c r="E103" s="74" t="str"/>
      <x:c r="F103" s="74" t="str">
        <x:v>Install + Service/Repair</x:v>
      </x:c>
      <x:c r="G103" s="76" t="n">
        <x:v>4.9</x:v>
      </x:c>
      <x:c r="H103" s="78" t="n">
        <x:v>787</x:v>
      </x:c>
      <x:c r="I103" s="74" t="str">
        <x:v>Lansing / Mid-Michigan</x:v>
      </x:c>
      <x:c r="J103" s="74" t="str">
        <x:v>Current Business Index</x:v>
      </x:c>
      <x:c r="K103" s="74" t="str">
        <x:v>High</x:v>
      </x:c>
      <x:c r="L103" s="80" t="str">
        <x:v>https://www.google.com/maps/search/?api=1&amp;query=Precision+Garage+Door+of+Mid+Michigan+Lansing+Michigan</x:v>
      </x:c>
      <x:c r="M103" s="80" t="str"/>
      <x:c r="N103" s="74" t="str">
        <x:v>Current 2026 business-index result explicitly describes repair and installation capability.</x:v>
      </x:c>
    </x:row>
    <x:row r="104" ht="34" customHeight="1">
      <x:c r="A104" s="74" t="str">
        <x:v>Reliable Doors Inc</x:v>
      </x:c>
      <x:c r="B104" s="74" t="str"/>
      <x:c r="C104" s="74" t="str">
        <x:v>Lapeer</x:v>
      </x:c>
      <x:c r="D104" s="74" t="str">
        <x:v>810-358-0689</x:v>
      </x:c>
      <x:c r="E104" s="74" t="str"/>
      <x:c r="F104" s="74" t="str">
        <x:v>Install + Service/Repair</x:v>
      </x:c>
      <x:c r="G104" s="76" t="n">
        <x:v>4.9</x:v>
      </x:c>
      <x:c r="H104" s="78" t="n">
        <x:v>70</x:v>
      </x:c>
      <x:c r="I104" s="74" t="str">
        <x:v>Flint / Genesee / Lapeer</x:v>
      </x:c>
      <x:c r="J104" s="74" t="str">
        <x:v>Current Business Index</x:v>
      </x:c>
      <x:c r="K104" s="74" t="str">
        <x:v>High</x:v>
      </x:c>
      <x:c r="L104" s="80" t="str">
        <x:v>https://www.google.com/maps/search/?api=1&amp;query=Reliable+Doors+Inc+Lapeer+Michigan</x:v>
      </x:c>
      <x:c r="M104" s="80" t="str"/>
      <x:c r="N104" s="74" t="str">
        <x:v>Current 2026 business-index result explicitly describes repair and installation capability.</x:v>
      </x:c>
    </x:row>
    <x:row r="105" ht="34" customHeight="1">
      <x:c r="A105" s="74" t="str">
        <x:v>Michigan Door Maintenance</x:v>
      </x:c>
      <x:c r="B105" s="74" t="str">
        <x:v>2912 Granger Rd, Lewiston, MI 49756</x:v>
      </x:c>
      <x:c r="C105" s="74" t="str">
        <x:v>Lewiston</x:v>
      </x:c>
      <x:c r="D105" s="74" t="str">
        <x:v>586-263-7331</x:v>
      </x:c>
      <x:c r="E105" s="74" t="str"/>
      <x:c r="F105" s="74" t="str">
        <x:v>Install + Service/Repair</x:v>
      </x:c>
      <x:c r="G105" s="76" t="n">
        <x:v>5</x:v>
      </x:c>
      <x:c r="H105" s="78" t="n">
        <x:v>2</x:v>
      </x:c>
      <x:c r="I105" s="74" t="str">
        <x:v>Traverse City / Northern Michigan</x:v>
      </x:c>
      <x:c r="J105" s="74" t="str">
        <x:v>Current Business Index</x:v>
      </x:c>
      <x:c r="K105" s="74" t="str">
        <x:v>Medium</x:v>
      </x:c>
      <x:c r="L105" s="80" t="str">
        <x:v>https://www.google.com/maps/search/?api=1&amp;query=Michigan+Door+Maintenance+2912+Granger+Rd%2C+Lewiston%2C+MI+49756+Michigan</x:v>
      </x:c>
      <x:c r="M105" s="80" t="str"/>
      <x:c r="N105" s="74" t="str">
        <x:v>Current 2026 business-index result explicitly describes repair and installation capability.</x:v>
      </x:c>
    </x:row>
    <x:row r="106" ht="34" customHeight="1">
      <x:c r="A106" s="74" t="str">
        <x:v>Altech Doors</x:v>
      </x:c>
      <x:c r="B106" s="74" t="str">
        <x:v>27519 Schoolcraft Rd, Livonia, MI 48150-2217</x:v>
      </x:c>
      <x:c r="C106" s="74" t="str">
        <x:v>Livonia</x:v>
      </x:c>
      <x:c r="D106" s="74" t="str">
        <x:v>734-525-0875</x:v>
      </x:c>
      <x:c r="E106" s="74" t="str"/>
      <x:c r="F106" s="74" t="str">
        <x:v>Install + Service/Repair</x:v>
      </x:c>
      <x:c r="G106" s="76"/>
      <x:c r="H106" s="78"/>
      <x:c r="I106" s="74" t="str">
        <x:v>Statewide / Clopay</x:v>
      </x:c>
      <x:c r="J106" s="74" t="str">
        <x:v>Clopay Authorized Dealer</x:v>
      </x:c>
      <x:c r="K106" s="74" t="str">
        <x:v>High</x:v>
      </x:c>
      <x:c r="L106" s="80" t="str">
        <x:v>https://www.clopaydoor.com/dealers/michigan/-page-1-</x:v>
      </x:c>
      <x:c r="M106" s="80" t="str"/>
      <x:c r="N106" s="74" t="str">
        <x:v>Clopay states its Michigan dealers provide new-door installation, time-sensitive repairs and preventive maintenance.</x:v>
      </x:c>
    </x:row>
    <x:row r="107" ht="34" customHeight="1">
      <x:c r="A107" s="74" t="str">
        <x:v>STERLING DOOR INST</x:v>
      </x:c>
      <x:c r="B107" s="74" t="str">
        <x:v>46538 White Cap Drive, Macomb Town, MI 48044-5731</x:v>
      </x:c>
      <x:c r="C107" s="74" t="str">
        <x:v>Macomb Town</x:v>
      </x:c>
      <x:c r="D107" s="74" t="str">
        <x:v>586-979-2376</x:v>
      </x:c>
      <x:c r="E107" s="74" t="str"/>
      <x:c r="F107" s="74" t="str">
        <x:v>Install + Service/Repair</x:v>
      </x:c>
      <x:c r="G107" s="76"/>
      <x:c r="H107" s="78"/>
      <x:c r="I107" s="74" t="str">
        <x:v>Statewide / Clopay</x:v>
      </x:c>
      <x:c r="J107" s="74" t="str">
        <x:v>Clopay Authorized Dealer</x:v>
      </x:c>
      <x:c r="K107" s="74" t="str">
        <x:v>High</x:v>
      </x:c>
      <x:c r="L107" s="80" t="str">
        <x:v>https://www.clopaydoor.com/dealers/michigan/-page-3-</x:v>
      </x:c>
      <x:c r="M107" s="80" t="str"/>
      <x:c r="N107" s="74" t="str">
        <x:v>Clopay states its Michigan dealers provide new-door installation, time-sensitive repairs and preventive maintenance.</x:v>
      </x:c>
    </x:row>
    <x:row r="108" ht="34" customHeight="1">
      <x:c r="A108" s="74" t="str">
        <x:v>Hometown Doors Inc</x:v>
      </x:c>
      <x:c r="B108" s="74" t="str">
        <x:v>1917 N 41 1/2 Rd, Manton, MI 49663</x:v>
      </x:c>
      <x:c r="C108" s="74" t="str">
        <x:v>Manton</x:v>
      </x:c>
      <x:c r="D108" s="74" t="str">
        <x:v>231-779-9961</x:v>
      </x:c>
      <x:c r="E108" s="74" t="str"/>
      <x:c r="F108" s="74" t="str">
        <x:v>Install + Service/Repair</x:v>
      </x:c>
      <x:c r="G108" s="76"/>
      <x:c r="H108" s="78" t="n">
        <x:v>0</x:v>
      </x:c>
      <x:c r="I108" s="74" t="str">
        <x:v>Traverse City / Northern Michigan</x:v>
      </x:c>
      <x:c r="J108" s="74" t="str">
        <x:v>Current Business Index</x:v>
      </x:c>
      <x:c r="K108" s="74" t="str">
        <x:v>Medium</x:v>
      </x:c>
      <x:c r="L108" s="80" t="str">
        <x:v>https://www.google.com/maps/search/?api=1&amp;query=Hometown+Doors+Inc+1917+N+41+1%2F2+Rd%2C+Manton%2C+MI+49663+Michigan</x:v>
      </x:c>
      <x:c r="M108" s="80" t="str"/>
      <x:c r="N108" s="74" t="str">
        <x:v>Current 2026 business-index result explicitly describes repair and installation capability.</x:v>
      </x:c>
    </x:row>
    <x:row r="109" ht="34" customHeight="1">
      <x:c r="A109" s="74" t="str">
        <x:v>Door Pro II, LLC</x:v>
      </x:c>
      <x:c r="B109" s="74" t="str"/>
      <x:c r="C109" s="74" t="str">
        <x:v>Marquette</x:v>
      </x:c>
      <x:c r="D109" s="74" t="str">
        <x:v>906-360-2998</x:v>
      </x:c>
      <x:c r="E109" s="74" t="str"/>
      <x:c r="F109" s="74" t="str">
        <x:v>Install + Service/Repair</x:v>
      </x:c>
      <x:c r="G109" s="76"/>
      <x:c r="H109" s="78" t="n">
        <x:v>0</x:v>
      </x:c>
      <x:c r="I109" s="74" t="str">
        <x:v>Upper Peninsula</x:v>
      </x:c>
      <x:c r="J109" s="74" t="str">
        <x:v>Current Business Index</x:v>
      </x:c>
      <x:c r="K109" s="74" t="str">
        <x:v>Medium</x:v>
      </x:c>
      <x:c r="L109" s="80" t="str">
        <x:v>https://www.google.com/maps/search/?api=1&amp;query=Door+Pro+II%2C+LLC+Marquette+Michigan</x:v>
      </x:c>
      <x:c r="M109" s="80" t="str"/>
      <x:c r="N109" s="74" t="str">
        <x:v>Current 2026 business-index result explicitly describes repair and installation capability.</x:v>
      </x:c>
    </x:row>
    <x:row r="110" ht="34" customHeight="1">
      <x:c r="A110" s="74" t="str">
        <x:v>Four Seasons Garage Door Service</x:v>
      </x:c>
      <x:c r="B110" s="74" t="str"/>
      <x:c r="C110" s="74" t="str">
        <x:v>Marquette</x:v>
      </x:c>
      <x:c r="D110" s="74" t="str">
        <x:v>906-361-2449</x:v>
      </x:c>
      <x:c r="E110" s="74" t="str"/>
      <x:c r="F110" s="74" t="str">
        <x:v>Install + Service/Repair</x:v>
      </x:c>
      <x:c r="G110" s="76" t="n">
        <x:v>5</x:v>
      </x:c>
      <x:c r="H110" s="78" t="n">
        <x:v>1</x:v>
      </x:c>
      <x:c r="I110" s="74" t="str">
        <x:v>Upper Peninsula</x:v>
      </x:c>
      <x:c r="J110" s="74" t="str">
        <x:v>Current Business Index</x:v>
      </x:c>
      <x:c r="K110" s="74" t="str">
        <x:v>Medium</x:v>
      </x:c>
      <x:c r="L110" s="80" t="str">
        <x:v>https://www.google.com/maps/search/?api=1&amp;query=Four+Seasons+Garage+Door+Service+Marquette+Michigan</x:v>
      </x:c>
      <x:c r="M110" s="80" t="str"/>
      <x:c r="N110" s="74" t="str">
        <x:v>Current 2026 business-index result explicitly describes repair and installation capability.</x:v>
      </x:c>
    </x:row>
    <x:row r="111" ht="34" customHeight="1">
      <x:c r="A111" s="74" t="str">
        <x:v>Overhead Door Company of Marquette</x:v>
      </x:c>
      <x:c r="B111" s="74" t="str">
        <x:v>1009 W Bluff St, Marquette, MI 49855</x:v>
      </x:c>
      <x:c r="C111" s="74" t="str">
        <x:v>Marquette</x:v>
      </x:c>
      <x:c r="D111" s="74" t="str">
        <x:v>906-226-6516</x:v>
      </x:c>
      <x:c r="E111" s="74" t="str"/>
      <x:c r="F111" s="74" t="str">
        <x:v>Install + Service/Repair</x:v>
      </x:c>
      <x:c r="G111" s="76" t="n">
        <x:v>4.3</x:v>
      </x:c>
      <x:c r="H111" s="78" t="n">
        <x:v>3</x:v>
      </x:c>
      <x:c r="I111" s="74" t="str">
        <x:v>Upper Peninsula</x:v>
      </x:c>
      <x:c r="J111" s="74" t="str">
        <x:v>Current Business Index</x:v>
      </x:c>
      <x:c r="K111" s="74" t="str">
        <x:v>Medium</x:v>
      </x:c>
      <x:c r="L111" s="80" t="str">
        <x:v>https://www.google.com/maps/search/?api=1&amp;query=Overhead+Door+Company+of+Marquette+1009+W+Bluff+St%2C+Marquette%2C+MI+49855+Michigan</x:v>
      </x:c>
      <x:c r="M111" s="80" t="str"/>
      <x:c r="N111" s="74" t="str">
        <x:v>Current 2026 business-index result explicitly describes repair and installation capability.</x:v>
      </x:c>
    </x:row>
    <x:row r="112" ht="34" customHeight="1">
      <x:c r="A112" s="74" t="str">
        <x:v>Wolverine Door Service</x:v>
      </x:c>
      <x:c r="B112" s="74" t="str">
        <x:v>2210 US-41 S, Marquette, MI 49855</x:v>
      </x:c>
      <x:c r="C112" s="74" t="str">
        <x:v>Marquette</x:v>
      </x:c>
      <x:c r="D112" s="74" t="str">
        <x:v>906-249-3179</x:v>
      </x:c>
      <x:c r="E112" s="74" t="str"/>
      <x:c r="F112" s="74" t="str">
        <x:v>Install + Service/Repair</x:v>
      </x:c>
      <x:c r="G112" s="76" t="n">
        <x:v>4</x:v>
      </x:c>
      <x:c r="H112" s="78" t="n">
        <x:v>24</x:v>
      </x:c>
      <x:c r="I112" s="74" t="str">
        <x:v>Upper Peninsula</x:v>
      </x:c>
      <x:c r="J112" s="74" t="str">
        <x:v>Current Business Index</x:v>
      </x:c>
      <x:c r="K112" s="74" t="str">
        <x:v>High</x:v>
      </x:c>
      <x:c r="L112" s="80" t="str">
        <x:v>https://www.google.com/maps/search/?api=1&amp;query=Wolverine+Door+Service+2210+US-41+S%2C+Marquette%2C+MI+49855+Michigan</x:v>
      </x:c>
      <x:c r="M112" s="80" t="str"/>
      <x:c r="N112" s="74" t="str">
        <x:v>Current 2026 business-index result explicitly describes repair and installation capability.</x:v>
      </x:c>
    </x:row>
    <x:row r="113" ht="34" customHeight="1">
      <x:c r="A113" s="74" t="str">
        <x:v>Arcadia Garage Door Company LLC</x:v>
      </x:c>
      <x:c r="B113" s="74" t="str">
        <x:v>7267 S 3rd St, Mattawan, MI 49071</x:v>
      </x:c>
      <x:c r="C113" s="74" t="str">
        <x:v>Mattawan</x:v>
      </x:c>
      <x:c r="D113" s="74" t="str">
        <x:v>269-377-6089</x:v>
      </x:c>
      <x:c r="E113" s="74" t="str"/>
      <x:c r="F113" s="74" t="str">
        <x:v>Install + Service/Repair</x:v>
      </x:c>
      <x:c r="G113" s="76" t="n">
        <x:v>5</x:v>
      </x:c>
      <x:c r="H113" s="78" t="n">
        <x:v>14</x:v>
      </x:c>
      <x:c r="I113" s="74" t="str">
        <x:v>Kalamazoo / Southwest Michigan</x:v>
      </x:c>
      <x:c r="J113" s="74" t="str">
        <x:v>Current Business Index</x:v>
      </x:c>
      <x:c r="K113" s="74" t="str">
        <x:v>High</x:v>
      </x:c>
      <x:c r="L113" s="80" t="str">
        <x:v>https://www.google.com/maps/search/?api=1&amp;query=Arcadia+Garage+Door+Company+LLC+7267+S+3rd+St%2C+Mattawan%2C+MI+49071+Michigan</x:v>
      </x:c>
      <x:c r="M113" s="80" t="str"/>
      <x:c r="N113" s="74" t="str">
        <x:v>Current 2026 business-index result explicitly describes repair and installation capability.</x:v>
      </x:c>
    </x:row>
    <x:row r="114" ht="34" customHeight="1">
      <x:c r="A114" s="74" t="str">
        <x:v>Modern Garage Door</x:v>
      </x:c>
      <x:c r="B114" s="74" t="str"/>
      <x:c r="C114" s="74" t="str">
        <x:v>Mattawan</x:v>
      </x:c>
      <x:c r="D114" s="74" t="str">
        <x:v>269-668-6474</x:v>
      </x:c>
      <x:c r="E114" s="74" t="str"/>
      <x:c r="F114" s="74" t="str">
        <x:v>Install + Service/Repair</x:v>
      </x:c>
      <x:c r="G114" s="76" t="n">
        <x:v>4.6</x:v>
      </x:c>
      <x:c r="H114" s="78" t="n">
        <x:v>9</x:v>
      </x:c>
      <x:c r="I114" s="74" t="str">
        <x:v>Kalamazoo / Southwest Michigan</x:v>
      </x:c>
      <x:c r="J114" s="74" t="str">
        <x:v>Current Business Index</x:v>
      </x:c>
      <x:c r="K114" s="74" t="str">
        <x:v>Medium</x:v>
      </x:c>
      <x:c r="L114" s="80" t="str">
        <x:v>https://www.google.com/maps/search/?api=1&amp;query=Modern+Garage+Door+Mattawan+Michigan</x:v>
      </x:c>
      <x:c r="M114" s="80" t="str"/>
      <x:c r="N114" s="74" t="str">
        <x:v>Current 2026 business-index result explicitly describes repair and installation capability.</x:v>
      </x:c>
    </x:row>
    <x:row r="115" ht="34" customHeight="1">
      <x:c r="A115" s="74" t="str">
        <x:v>Hunter Garage Doors</x:v>
      </x:c>
      <x:c r="B115" s="74" t="str">
        <x:v>3686 County Rd 379, McMillan, MI 49853</x:v>
      </x:c>
      <x:c r="C115" s="74" t="str">
        <x:v>McMillan</x:v>
      </x:c>
      <x:c r="D115" s="74" t="str">
        <x:v>906-293-6058</x:v>
      </x:c>
      <x:c r="E115" s="74" t="str"/>
      <x:c r="F115" s="74" t="str">
        <x:v>Install + Service/Repair</x:v>
      </x:c>
      <x:c r="G115" s="76"/>
      <x:c r="H115" s="78" t="n">
        <x:v>0</x:v>
      </x:c>
      <x:c r="I115" s="74" t="str">
        <x:v>Statewide / Clopay</x:v>
      </x:c>
      <x:c r="J115" s="74" t="str">
        <x:v>Clopay Authorized Dealer</x:v>
      </x:c>
      <x:c r="K115" s="74" t="str">
        <x:v>High</x:v>
      </x:c>
      <x:c r="L115" s="80" t="str">
        <x:v>https://www.clopaydoor.com/dealers/michigan/-page-2-</x:v>
      </x:c>
      <x:c r="M115" s="80" t="str">
        <x:v>https://www.google.com/maps/search/?api=1&amp;query=Hunter+Garage+Doors+3686+County+Rd+379%2C+McMillan%2C+MI+49853+Michigan</x:v>
      </x:c>
      <x:c r="N115" s="74" t="str">
        <x:v>Clopay states its Michigan dealers provide new-door installation, time-sensitive repairs and preventive maintenance. Cross-checked against a current 2026 business-index result. Clopay directory lists: W16825 Sandtown Road, Curtis, MI 49820-9629.</x:v>
      </x:c>
    </x:row>
    <x:row r="116" ht="34" customHeight="1">
      <x:c r="A116" s="74" t="str">
        <x:v>Great Lakes Overhead Door</x:v>
      </x:c>
      <x:c r="B116" s="74" t="str">
        <x:v>4217 13th St, Menominee, MI 49858</x:v>
      </x:c>
      <x:c r="C116" s="74" t="str">
        <x:v>Menominee</x:v>
      </x:c>
      <x:c r="D116" s="74" t="str">
        <x:v>906-864-1999</x:v>
      </x:c>
      <x:c r="E116" s="74" t="str"/>
      <x:c r="F116" s="74" t="str">
        <x:v>Install + Service/Repair</x:v>
      </x:c>
      <x:c r="G116" s="76" t="n">
        <x:v>4.9</x:v>
      </x:c>
      <x:c r="H116" s="78" t="n">
        <x:v>37</x:v>
      </x:c>
      <x:c r="I116" s="74" t="str">
        <x:v>Upper Peninsula</x:v>
      </x:c>
      <x:c r="J116" s="74" t="str">
        <x:v>Current Business Index</x:v>
      </x:c>
      <x:c r="K116" s="74" t="str">
        <x:v>High</x:v>
      </x:c>
      <x:c r="L116" s="80" t="str">
        <x:v>https://www.google.com/maps/search/?api=1&amp;query=Great+Lakes+Overhead+Door+4217+13th+St%2C+Menominee%2C+MI+49858+Michigan</x:v>
      </x:c>
      <x:c r="M116" s="80" t="str"/>
      <x:c r="N116" s="74" t="str">
        <x:v>Current 2026 business-index result explicitly describes repair and installation capability.</x:v>
      </x:c>
    </x:row>
    <x:row r="117" ht="34" customHeight="1">
      <x:c r="A117" s="74" t="str">
        <x:v>R &amp; M Overhead Door, LLC</x:v>
      </x:c>
      <x:c r="B117" s="74" t="str">
        <x:v>1408 28th Ave, Menominee, MI 49858</x:v>
      </x:c>
      <x:c r="C117" s="74" t="str">
        <x:v>Menominee</x:v>
      </x:c>
      <x:c r="D117" s="74" t="str">
        <x:v>715-587-6270</x:v>
      </x:c>
      <x:c r="E117" s="74" t="str"/>
      <x:c r="F117" s="74" t="str">
        <x:v>Install + Service/Repair</x:v>
      </x:c>
      <x:c r="G117" s="76" t="n">
        <x:v>5</x:v>
      </x:c>
      <x:c r="H117" s="78" t="n">
        <x:v>11</x:v>
      </x:c>
      <x:c r="I117" s="74" t="str">
        <x:v>Upper Peninsula</x:v>
      </x:c>
      <x:c r="J117" s="74" t="str">
        <x:v>Current Business Index</x:v>
      </x:c>
      <x:c r="K117" s="74" t="str">
        <x:v>High</x:v>
      </x:c>
      <x:c r="L117" s="80" t="str">
        <x:v>https://www.google.com/maps/search/?api=1&amp;query=R+%26+M+Overhead+Door%2C+LLC+1408+28th+Ave%2C+Menominee%2C+MI+49858+Michigan</x:v>
      </x:c>
      <x:c r="M117" s="80" t="str"/>
      <x:c r="N117" s="74" t="str">
        <x:v>Current 2026 business-index result explicitly describes repair and installation capability.</x:v>
      </x:c>
    </x:row>
    <x:row r="118" ht="34" customHeight="1">
      <x:c r="A118" s="74" t="str">
        <x:v>Tri-City Overhead Doors</x:v>
      </x:c>
      <x:c r="B118" s="74" t="str"/>
      <x:c r="C118" s="74" t="str">
        <x:v>Menominee</x:v>
      </x:c>
      <x:c r="D118" s="74" t="str">
        <x:v>920-471-7172</x:v>
      </x:c>
      <x:c r="E118" s="74" t="str"/>
      <x:c r="F118" s="74" t="str">
        <x:v>Install + Service/Repair</x:v>
      </x:c>
      <x:c r="G118" s="76" t="n">
        <x:v>4.8</x:v>
      </x:c>
      <x:c r="H118" s="78" t="n">
        <x:v>43</x:v>
      </x:c>
      <x:c r="I118" s="74" t="str">
        <x:v>Upper Peninsula</x:v>
      </x:c>
      <x:c r="J118" s="74" t="str">
        <x:v>Current Business Index</x:v>
      </x:c>
      <x:c r="K118" s="74" t="str">
        <x:v>High</x:v>
      </x:c>
      <x:c r="L118" s="80" t="str">
        <x:v>https://www.google.com/maps/search/?api=1&amp;query=Tri-City+Overhead+Doors+Menominee+Michigan</x:v>
      </x:c>
      <x:c r="M118" s="80" t="str"/>
      <x:c r="N118" s="74" t="str">
        <x:v>Current 2026 business-index result explicitly describes repair and installation capability.</x:v>
      </x:c>
    </x:row>
    <x:row r="119" ht="34" customHeight="1">
      <x:c r="A119" s="74" t="str">
        <x:v>Mid Michigan Garage Door - Midland</x:v>
      </x:c>
      <x:c r="B119" s="74" t="str">
        <x:v>2800 Rodd St, Midland, MI 48640</x:v>
      </x:c>
      <x:c r="C119" s="74" t="str">
        <x:v>Midland</x:v>
      </x:c>
      <x:c r="D119" s="74" t="str">
        <x:v>989-600-9338</x:v>
      </x:c>
      <x:c r="E119" s="74" t="str"/>
      <x:c r="F119" s="74" t="str">
        <x:v>Install + Service/Repair</x:v>
      </x:c>
      <x:c r="G119" s="76" t="n">
        <x:v>5</x:v>
      </x:c>
      <x:c r="H119" s="78" t="n">
        <x:v>2</x:v>
      </x:c>
      <x:c r="I119" s="74" t="str">
        <x:v>Saginaw / Great Lakes Bay</x:v>
      </x:c>
      <x:c r="J119" s="74" t="str">
        <x:v>Current Business Index</x:v>
      </x:c>
      <x:c r="K119" s="74" t="str">
        <x:v>Medium</x:v>
      </x:c>
      <x:c r="L119" s="80" t="str">
        <x:v>https://www.google.com/maps/search/?api=1&amp;query=Mid+Michigan+Garage+Door+-+Midland+2800+Rodd+St%2C+Midland%2C+MI+48640+Michigan</x:v>
      </x:c>
      <x:c r="M119" s="80" t="str"/>
      <x:c r="N119" s="74" t="str">
        <x:v>Current 2026 business-index result explicitly describes repair and installation capability.</x:v>
      </x:c>
    </x:row>
    <x:row r="120" ht="34" customHeight="1">
      <x:c r="A120" s="74" t="str">
        <x:v>NEWMYER DOOR</x:v>
      </x:c>
      <x:c r="B120" s="74" t="str">
        <x:v>1754 HIDDEN VALLEY DRIVE, MILFORD, MI 48380-3334</x:v>
      </x:c>
      <x:c r="C120" s="74" t="str">
        <x:v>Milford</x:v>
      </x:c>
      <x:c r="D120" s="74" t="str">
        <x:v>248-640-2597</x:v>
      </x:c>
      <x:c r="E120" s="74" t="str"/>
      <x:c r="F120" s="74" t="str">
        <x:v>Install + Service/Repair</x:v>
      </x:c>
      <x:c r="G120" s="76"/>
      <x:c r="H120" s="78"/>
      <x:c r="I120" s="74" t="str">
        <x:v>Statewide / Clopay</x:v>
      </x:c>
      <x:c r="J120" s="74" t="str">
        <x:v>Clopay Authorized Dealer</x:v>
      </x:c>
      <x:c r="K120" s="74" t="str">
        <x:v>High</x:v>
      </x:c>
      <x:c r="L120" s="80" t="str">
        <x:v>https://www.clopaydoor.com/dealers/michigan/-page-2-</x:v>
      </x:c>
      <x:c r="M120" s="80" t="str"/>
      <x:c r="N120" s="74" t="str">
        <x:v>Clopay states its Michigan dealers provide new-door installation, time-sensitive repairs and preventive maintenance.</x:v>
      </x:c>
    </x:row>
    <x:row r="121" ht="34" customHeight="1">
      <x:c r="A121" s="74" t="str">
        <x:v>JOHNSON DOOR-CENTRAL VACUUM SYSTEMS</x:v>
      </x:c>
      <x:c r="B121" s="74" t="str">
        <x:v>811 CRAIG HILL ROAD, MOUNT PLEASANT, MI 48858</x:v>
      </x:c>
      <x:c r="C121" s="74" t="str">
        <x:v>Mount Pleasant</x:v>
      </x:c>
      <x:c r="D121" s="74" t="str">
        <x:v>989-772-3155</x:v>
      </x:c>
      <x:c r="E121" s="74" t="str"/>
      <x:c r="F121" s="74" t="str">
        <x:v>Install + Service/Repair</x:v>
      </x:c>
      <x:c r="G121" s="76"/>
      <x:c r="H121" s="78"/>
      <x:c r="I121" s="74" t="str">
        <x:v>Statewide / Clopay</x:v>
      </x:c>
      <x:c r="J121" s="74" t="str">
        <x:v>Clopay Authorized Dealer</x:v>
      </x:c>
      <x:c r="K121" s="74" t="str">
        <x:v>High</x:v>
      </x:c>
      <x:c r="L121" s="80" t="str">
        <x:v>https://www.clopaydoor.com/dealers/michigan/-page-2-</x:v>
      </x:c>
      <x:c r="M121" s="80" t="str"/>
      <x:c r="N121" s="74" t="str">
        <x:v>Clopay states its Michigan dealers provide new-door installation, time-sensitive repairs and preventive maintenance.</x:v>
      </x:c>
    </x:row>
    <x:row r="122" ht="34" customHeight="1">
      <x:c r="A122" s="74" t="str">
        <x:v>Mt Pleasant Sash &amp; Door</x:v>
      </x:c>
      <x:c r="B122" s="74" t="str">
        <x:v>1315 S MISSION RD, MOUNT PLEASANT, MI 48858-5613</x:v>
      </x:c>
      <x:c r="C122" s="74" t="str">
        <x:v>Mount Pleasant</x:v>
      </x:c>
      <x:c r="D122" s="74" t="str">
        <x:v>989-773-7892</x:v>
      </x:c>
      <x:c r="E122" s="74" t="str"/>
      <x:c r="F122" s="74" t="str">
        <x:v>Install + Service/Repair</x:v>
      </x:c>
      <x:c r="G122" s="76"/>
      <x:c r="H122" s="78"/>
      <x:c r="I122" s="74" t="str">
        <x:v>Statewide / Clopay</x:v>
      </x:c>
      <x:c r="J122" s="74" t="str">
        <x:v>Clopay Authorized Dealer</x:v>
      </x:c>
      <x:c r="K122" s="74" t="str">
        <x:v>High</x:v>
      </x:c>
      <x:c r="L122" s="80" t="str">
        <x:v>https://www.clopaydoor.com/dealers/michigan/-page-2-</x:v>
      </x:c>
      <x:c r="M122" s="80" t="str"/>
      <x:c r="N122" s="74" t="str">
        <x:v>Clopay states its Michigan dealers provide new-door installation, time-sensitive repairs and preventive maintenance.</x:v>
      </x:c>
    </x:row>
    <x:row r="123" ht="34" customHeight="1">
      <x:c r="A123" s="74" t="str">
        <x:v>STOCKBRIDGE OVERHEAD DOORS</x:v>
      </x:c>
      <x:c r="B123" s="74" t="str">
        <x:v>10881 TERRITORIAL ROAD, MUNITH, MI 49259-9707</x:v>
      </x:c>
      <x:c r="C123" s="74" t="str">
        <x:v>Munith</x:v>
      </x:c>
      <x:c r="D123" s="74" t="str">
        <x:v>517-851-7291</x:v>
      </x:c>
      <x:c r="E123" s="74" t="str"/>
      <x:c r="F123" s="74" t="str">
        <x:v>Install + Service/Repair</x:v>
      </x:c>
      <x:c r="G123" s="76"/>
      <x:c r="H123" s="78"/>
      <x:c r="I123" s="74" t="str">
        <x:v>Statewide / Clopay</x:v>
      </x:c>
      <x:c r="J123" s="74" t="str">
        <x:v>Clopay Authorized Dealer</x:v>
      </x:c>
      <x:c r="K123" s="74" t="str">
        <x:v>High</x:v>
      </x:c>
      <x:c r="L123" s="80" t="str">
        <x:v>https://www.clopaydoor.com/dealers/michigan/-page-3-</x:v>
      </x:c>
      <x:c r="M123" s="80" t="str"/>
      <x:c r="N123" s="74" t="str">
        <x:v>Clopay states its Michigan dealers provide new-door installation, time-sensitive repairs and preventive maintenance.</x:v>
      </x:c>
    </x:row>
    <x:row r="124" ht="34" customHeight="1">
      <x:c r="A124" s="74" t="str">
        <x:v>Garage Doors Plus</x:v>
      </x:c>
      <x:c r="B124" s="74" t="str">
        <x:v>3041 Heights Ravenna Rd, Muskegon, MI 49444</x:v>
      </x:c>
      <x:c r="C124" s="74" t="str">
        <x:v>Muskegon</x:v>
      </x:c>
      <x:c r="D124" s="74" t="str">
        <x:v>231-777-3998</x:v>
      </x:c>
      <x:c r="E124" s="74" t="str"/>
      <x:c r="F124" s="74" t="str">
        <x:v>Install + Service/Repair</x:v>
      </x:c>
      <x:c r="G124" s="76" t="n">
        <x:v>5</x:v>
      </x:c>
      <x:c r="H124" s="78" t="n">
        <x:v>10</x:v>
      </x:c>
      <x:c r="I124" s="74" t="str">
        <x:v>Statewide / Clopay</x:v>
      </x:c>
      <x:c r="J124" s="74" t="str">
        <x:v>Clopay Authorized Dealer</x:v>
      </x:c>
      <x:c r="K124" s="74" t="str">
        <x:v>High</x:v>
      </x:c>
      <x:c r="L124" s="80" t="str">
        <x:v>https://www.clopaydoor.com/dealers/michigan/-page-2-</x:v>
      </x:c>
      <x:c r="M124" s="80" t="str">
        <x:v>https://www.google.com/maps/search/?api=1&amp;query=Garage+Doors+Plus+3041+Heights+Ravenna+Rd%2C+Muskegon%2C+MI+49444+Michigan</x:v>
      </x:c>
      <x:c r="N124" s="74" t="str">
        <x:v>Clopay states its Michigan dealers provide new-door installation, time-sensitive repairs and preventive maintenance. Cross-checked against a current 2026 business-index result. Clopay directory lists: 3074 Heights Ravenna Rd, MUSKEGON, MI 49444.</x:v>
      </x:c>
    </x:row>
    <x:row r="125" ht="34" customHeight="1">
      <x:c r="A125" s="74" t="str">
        <x:v>QUALITY DOOR &amp; OPERATOR - MUSKEGON</x:v>
      </x:c>
      <x:c r="B125" s="74" t="str">
        <x:v>5600 GRAND HAVEN ROAD, MUSKEGON, MI 49441-6006</x:v>
      </x:c>
      <x:c r="C125" s="74" t="str">
        <x:v>Muskegon</x:v>
      </x:c>
      <x:c r="D125" s="74" t="str">
        <x:v>231-241-9555</x:v>
      </x:c>
      <x:c r="E125" s="74" t="str"/>
      <x:c r="F125" s="74" t="str">
        <x:v>Install + Service/Repair</x:v>
      </x:c>
      <x:c r="G125" s="76"/>
      <x:c r="H125" s="78"/>
      <x:c r="I125" s="74" t="str">
        <x:v>Statewide / Clopay</x:v>
      </x:c>
      <x:c r="J125" s="74" t="str">
        <x:v>Clopay Authorized Dealer</x:v>
      </x:c>
      <x:c r="K125" s="74" t="str">
        <x:v>High</x:v>
      </x:c>
      <x:c r="L125" s="80" t="str">
        <x:v>https://www.clopaydoor.com/dealers/michigan/-page-3-</x:v>
      </x:c>
      <x:c r="M125" s="80" t="str"/>
      <x:c r="N125" s="74" t="str">
        <x:v>Clopay states its Michigan dealers provide new-door installation, time-sensitive repairs and preventive maintenance.</x:v>
      </x:c>
    </x:row>
    <x:row r="126" ht="34" customHeight="1">
      <x:c r="A126" s="74" t="str">
        <x:v>J Maki Door Services</x:v>
      </x:c>
      <x:c r="B126" s="74" t="str">
        <x:v>86 Midway Dr, Negaunee, MI 49866</x:v>
      </x:c>
      <x:c r="C126" s="74" t="str">
        <x:v>Negaunee</x:v>
      </x:c>
      <x:c r="D126" s="74" t="str">
        <x:v>906-226-7466</x:v>
      </x:c>
      <x:c r="E126" s="74" t="str"/>
      <x:c r="F126" s="74" t="str">
        <x:v>Install + Service/Repair</x:v>
      </x:c>
      <x:c r="G126" s="76" t="n">
        <x:v>4.6</x:v>
      </x:c>
      <x:c r="H126" s="78" t="n">
        <x:v>13</x:v>
      </x:c>
      <x:c r="I126" s="74" t="str">
        <x:v>Upper Peninsula</x:v>
      </x:c>
      <x:c r="J126" s="74" t="str">
        <x:v>Current Business Index</x:v>
      </x:c>
      <x:c r="K126" s="74" t="str">
        <x:v>High</x:v>
      </x:c>
      <x:c r="L126" s="80" t="str">
        <x:v>https://www.google.com/maps/search/?api=1&amp;query=J+Maki+Door+Services+86+Midway+Dr%2C+Negaunee%2C+MI+49866+Michigan</x:v>
      </x:c>
      <x:c r="M126" s="80" t="str"/>
      <x:c r="N126" s="74" t="str">
        <x:v>Current 2026 business-index result explicitly describes repair and installation capability.</x:v>
      </x:c>
    </x:row>
    <x:row r="127" ht="34" customHeight="1">
      <x:c r="A127" s="74" t="str">
        <x:v>5 Star Garage Door repair LLC</x:v>
      </x:c>
      <x:c r="B127" s="74" t="str">
        <x:v>5420 County Line Rd, New Haven, MI 48048</x:v>
      </x:c>
      <x:c r="C127" s="74" t="str">
        <x:v>New Haven</x:v>
      </x:c>
      <x:c r="D127" s="74" t="str">
        <x:v>586-713-2715</x:v>
      </x:c>
      <x:c r="E127" s="74" t="str"/>
      <x:c r="F127" s="74" t="str">
        <x:v>Install + Service/Repair</x:v>
      </x:c>
      <x:c r="G127" s="76" t="n">
        <x:v>4.9</x:v>
      </x:c>
      <x:c r="H127" s="78" t="n">
        <x:v>96</x:v>
      </x:c>
      <x:c r="I127" s="74" t="str">
        <x:v>Port Huron / St. Clair-Macomb</x:v>
      </x:c>
      <x:c r="J127" s="74" t="str">
        <x:v>Current Business Index</x:v>
      </x:c>
      <x:c r="K127" s="74" t="str">
        <x:v>High</x:v>
      </x:c>
      <x:c r="L127" s="80" t="str">
        <x:v>https://www.google.com/maps/search/?api=1&amp;query=5+Star+Garage+Door+repair+LLC+5420+County+Line+Rd%2C+New+Haven%2C+MI+48048+Michigan</x:v>
      </x:c>
      <x:c r="M127" s="80" t="str"/>
      <x:c r="N127" s="74" t="str">
        <x:v>Current 2026 business-index result explicitly describes repair and installation capability.</x:v>
      </x:c>
    </x:row>
    <x:row r="128" ht="34" customHeight="1">
      <x:c r="A128" s="74" t="str">
        <x:v>AAA Garage Door Repair and Service</x:v>
      </x:c>
      <x:c r="B128" s="74" t="str">
        <x:v>58596 Virginia Cir, New Haven, MI 48048</x:v>
      </x:c>
      <x:c r="C128" s="74" t="str">
        <x:v>New Haven</x:v>
      </x:c>
      <x:c r="D128" s="74" t="str">
        <x:v>844-426-1588</x:v>
      </x:c>
      <x:c r="E128" s="74" t="str"/>
      <x:c r="F128" s="74" t="str">
        <x:v>Install + Service/Repair</x:v>
      </x:c>
      <x:c r="G128" s="76" t="n">
        <x:v>4.9</x:v>
      </x:c>
      <x:c r="H128" s="78" t="n">
        <x:v>40</x:v>
      </x:c>
      <x:c r="I128" s="74" t="str">
        <x:v>Port Huron / St. Clair-Macomb</x:v>
      </x:c>
      <x:c r="J128" s="74" t="str">
        <x:v>Current Business Index</x:v>
      </x:c>
      <x:c r="K128" s="74" t="str">
        <x:v>High</x:v>
      </x:c>
      <x:c r="L128" s="80" t="str">
        <x:v>https://www.google.com/maps/search/?api=1&amp;query=AAA+Garage+Door+Repair+and+Service+58596+Virginia+Cir%2C+New+Haven%2C+MI+48048+Michigan</x:v>
      </x:c>
      <x:c r="M128" s="80" t="str"/>
      <x:c r="N128" s="74" t="str">
        <x:v>Current 2026 business-index result explicitly describes repair and installation capability.</x:v>
      </x:c>
    </x:row>
    <x:row r="129" ht="34" customHeight="1">
      <x:c r="A129" s="74" t="str">
        <x:v>Paramount Garage Doors LLC</x:v>
      </x:c>
      <x:c r="B129" s="74" t="str">
        <x:v>32134 Channing St, New Haven, MI 48048</x:v>
      </x:c>
      <x:c r="C129" s="74" t="str">
        <x:v>New Haven</x:v>
      </x:c>
      <x:c r="D129" s="74" t="str">
        <x:v>586-277-1315</x:v>
      </x:c>
      <x:c r="E129" s="74" t="str"/>
      <x:c r="F129" s="74" t="str">
        <x:v>Install + Service/Repair</x:v>
      </x:c>
      <x:c r="G129" s="76" t="n">
        <x:v>5</x:v>
      </x:c>
      <x:c r="H129" s="78" t="n">
        <x:v>179</x:v>
      </x:c>
      <x:c r="I129" s="74" t="str">
        <x:v>Port Huron / St. Clair-Macomb</x:v>
      </x:c>
      <x:c r="J129" s="74" t="str">
        <x:v>Current Business Index</x:v>
      </x:c>
      <x:c r="K129" s="74" t="str">
        <x:v>High</x:v>
      </x:c>
      <x:c r="L129" s="80" t="str">
        <x:v>https://www.google.com/maps/search/?api=1&amp;query=Paramount+Garage+Doors+LLC+32134+Channing+St%2C+New+Haven%2C+MI+48048+Michigan</x:v>
      </x:c>
      <x:c r="M129" s="80" t="str"/>
      <x:c r="N129" s="74" t="str">
        <x:v>Current 2026 business-index result explicitly describes repair and installation capability.</x:v>
      </x:c>
    </x:row>
    <x:row r="130" ht="34" customHeight="1">
      <x:c r="A130" s="74" t="str">
        <x:v>Accurate Garage Door Company, LLC</x:v>
      </x:c>
      <x:c r="B130" s="74" t="str"/>
      <x:c r="C130" s="74" t="str">
        <x:v>Newaygo</x:v>
      </x:c>
      <x:c r="D130" s="74" t="str">
        <x:v>231-224-6835</x:v>
      </x:c>
      <x:c r="E130" s="74" t="str"/>
      <x:c r="F130" s="74" t="str">
        <x:v>Install + Service/Repair</x:v>
      </x:c>
      <x:c r="G130" s="76" t="n">
        <x:v>5</x:v>
      </x:c>
      <x:c r="H130" s="78" t="n">
        <x:v>201</x:v>
      </x:c>
      <x:c r="I130" s="74" t="str">
        <x:v>Muskegon / Lakeshore</x:v>
      </x:c>
      <x:c r="J130" s="74" t="str">
        <x:v>Current Business Index</x:v>
      </x:c>
      <x:c r="K130" s="74" t="str">
        <x:v>High</x:v>
      </x:c>
      <x:c r="L130" s="80" t="str">
        <x:v>https://www.google.com/maps/search/?api=1&amp;query=Accurate+Garage+Door+Company%2C+LLC+Newaygo+Michigan</x:v>
      </x:c>
      <x:c r="M130" s="80" t="str"/>
      <x:c r="N130" s="74" t="str">
        <x:v>Current 2026 business-index result explicitly describes repair and installation capability.</x:v>
      </x:c>
    </x:row>
    <x:row r="131" ht="34" customHeight="1">
      <x:c r="A131" s="74" t="str">
        <x:v>White's Garage Door</x:v>
      </x:c>
      <x:c r="B131" s="74" t="str">
        <x:v>7158 McTaggart Rd, North Branch, MI 48461</x:v>
      </x:c>
      <x:c r="C131" s="74" t="str">
        <x:v>North Branch</x:v>
      </x:c>
      <x:c r="D131" s="74" t="str">
        <x:v>810-688-3655</x:v>
      </x:c>
      <x:c r="E131" s="74" t="str"/>
      <x:c r="F131" s="74" t="str">
        <x:v>Install + Service/Repair</x:v>
      </x:c>
      <x:c r="G131" s="76" t="n">
        <x:v>5</x:v>
      </x:c>
      <x:c r="H131" s="78" t="n">
        <x:v>406</x:v>
      </x:c>
      <x:c r="I131" s="74" t="str">
        <x:v>Flint / Genesee / Lapeer</x:v>
      </x:c>
      <x:c r="J131" s="74" t="str">
        <x:v>Current Business Index</x:v>
      </x:c>
      <x:c r="K131" s="74" t="str">
        <x:v>High</x:v>
      </x:c>
      <x:c r="L131" s="80" t="str">
        <x:v>https://www.google.com/maps/search/?api=1&amp;query=White%27s+Garage+Door+7158+McTaggart+Rd%2C+North+Branch%2C+MI+48461+Michigan</x:v>
      </x:c>
      <x:c r="M131" s="80" t="str"/>
      <x:c r="N131" s="74" t="str">
        <x:v>Current 2026 business-index result explicitly describes repair and installation capability.</x:v>
      </x:c>
    </x:row>
    <x:row r="132" ht="34" customHeight="1">
      <x:c r="A132" s="74" t="str">
        <x:v>Blitz Garage Door Repair</x:v>
      </x:c>
      <x:c r="B132" s="74" t="str">
        <x:v>3570 Henry St, Norton Shores, MI 49441</x:v>
      </x:c>
      <x:c r="C132" s="74" t="str">
        <x:v>Norton Shores</x:v>
      </x:c>
      <x:c r="D132" s="74" t="str">
        <x:v>231-247-8140</x:v>
      </x:c>
      <x:c r="E132" s="74" t="str"/>
      <x:c r="F132" s="74" t="str">
        <x:v>Install + Service/Repair</x:v>
      </x:c>
      <x:c r="G132" s="76" t="n">
        <x:v>4.9</x:v>
      </x:c>
      <x:c r="H132" s="78" t="n">
        <x:v>201</x:v>
      </x:c>
      <x:c r="I132" s="74" t="str">
        <x:v>Muskegon / Lakeshore</x:v>
      </x:c>
      <x:c r="J132" s="74" t="str">
        <x:v>Current Business Index</x:v>
      </x:c>
      <x:c r="K132" s="74" t="str">
        <x:v>High</x:v>
      </x:c>
      <x:c r="L132" s="80" t="str">
        <x:v>https://www.google.com/maps/search/?api=1&amp;query=Blitz+Garage+Door+Repair+3570+Henry+St%2C+Norton+Shores%2C+MI+49441+Michigan</x:v>
      </x:c>
      <x:c r="M132" s="80" t="str"/>
      <x:c r="N132" s="74" t="str">
        <x:v>Current 2026 business-index result explicitly describes repair and installation capability.</x:v>
      </x:c>
    </x:row>
    <x:row r="133" ht="34" customHeight="1">
      <x:c r="A133" s="74" t="str">
        <x:v>Shepherd Shoreline Gutters &amp; Garage Doors</x:v>
      </x:c>
      <x:c r="B133" s="74" t="str">
        <x:v>950 E Broadway Ave, Norton Shores, MI 49444</x:v>
      </x:c>
      <x:c r="C133" s="74" t="str">
        <x:v>Norton Shores</x:v>
      </x:c>
      <x:c r="D133" s="74" t="str">
        <x:v>231-780-2847</x:v>
      </x:c>
      <x:c r="E133" s="74" t="str"/>
      <x:c r="F133" s="74" t="str">
        <x:v>Install + Service/Repair</x:v>
      </x:c>
      <x:c r="G133" s="76" t="n">
        <x:v>4.3</x:v>
      </x:c>
      <x:c r="H133" s="78" t="n">
        <x:v>51</x:v>
      </x:c>
      <x:c r="I133" s="74" t="str">
        <x:v>Muskegon / Lakeshore</x:v>
      </x:c>
      <x:c r="J133" s="74" t="str">
        <x:v>Current Business Index</x:v>
      </x:c>
      <x:c r="K133" s="74" t="str">
        <x:v>High</x:v>
      </x:c>
      <x:c r="L133" s="80" t="str">
        <x:v>https://www.google.com/maps/search/?api=1&amp;query=Shepherd+Shoreline+Gutters+%26+Garage+Doors+950+E+Broadway+Ave%2C+Norton+Shores%2C+MI+49444+Michigan</x:v>
      </x:c>
      <x:c r="M133" s="80" t="str"/>
      <x:c r="N133" s="74" t="str">
        <x:v>Current 2026 business-index result explicitly describes repair and installation capability.</x:v>
      </x:c>
    </x:row>
    <x:row r="134" ht="34" customHeight="1">
      <x:c r="A134" s="74" t="str">
        <x:v>D &amp; D Garage Door LLC</x:v>
      </x:c>
      <x:c r="B134" s="74" t="str">
        <x:v>557 Lincoln Rd, Otsego, MI 49078</x:v>
      </x:c>
      <x:c r="C134" s="74" t="str">
        <x:v>Otsego</x:v>
      </x:c>
      <x:c r="D134" s="74" t="str">
        <x:v>269-650-2603</x:v>
      </x:c>
      <x:c r="E134" s="74" t="str"/>
      <x:c r="F134" s="74" t="str">
        <x:v>Install + Service/Repair</x:v>
      </x:c>
      <x:c r="G134" s="76" t="n">
        <x:v>5</x:v>
      </x:c>
      <x:c r="H134" s="78" t="n">
        <x:v>4</x:v>
      </x:c>
      <x:c r="I134" s="74" t="str">
        <x:v>Kalamazoo / Southwest Michigan</x:v>
      </x:c>
      <x:c r="J134" s="74" t="str">
        <x:v>Current Business Index</x:v>
      </x:c>
      <x:c r="K134" s="74" t="str">
        <x:v>Medium</x:v>
      </x:c>
      <x:c r="L134" s="80" t="str">
        <x:v>https://www.google.com/maps/search/?api=1&amp;query=D+%26+D+Garage+Door+LLC+557+Lincoln+Rd%2C+Otsego%2C+MI+49078+Michigan</x:v>
      </x:c>
      <x:c r="M134" s="80" t="str"/>
      <x:c r="N134" s="74" t="str">
        <x:v>Current 2026 business-index result explicitly describes repair and installation capability.</x:v>
      </x:c>
    </x:row>
    <x:row r="135" ht="34" customHeight="1">
      <x:c r="A135" s="74" t="str">
        <x:v>Bulldog Garage Doors</x:v>
      </x:c>
      <x:c r="B135" s="74" t="str">
        <x:v>1313 Anderson Rd, Petoskey, MI 49770</x:v>
      </x:c>
      <x:c r="C135" s="74" t="str">
        <x:v>Petoskey</x:v>
      </x:c>
      <x:c r="D135" s="74" t="str">
        <x:v>231-550-2364</x:v>
      </x:c>
      <x:c r="E135" s="74" t="str"/>
      <x:c r="F135" s="74" t="str">
        <x:v>Install + Service/Repair</x:v>
      </x:c>
      <x:c r="G135" s="76" t="n">
        <x:v>5</x:v>
      </x:c>
      <x:c r="H135" s="78" t="n">
        <x:v>11</x:v>
      </x:c>
      <x:c r="I135" s="74" t="str">
        <x:v>Traverse City / Northern Michigan</x:v>
      </x:c>
      <x:c r="J135" s="74" t="str">
        <x:v>Current Business Index</x:v>
      </x:c>
      <x:c r="K135" s="74" t="str">
        <x:v>High</x:v>
      </x:c>
      <x:c r="L135" s="80" t="str">
        <x:v>https://www.google.com/maps/search/?api=1&amp;query=Bulldog+Garage+Doors+1313+Anderson+Rd%2C+Petoskey%2C+MI+49770+Michigan</x:v>
      </x:c>
      <x:c r="M135" s="80" t="str"/>
      <x:c r="N135" s="74" t="str">
        <x:v>Current 2026 business-index result explicitly describes repair and installation capability.</x:v>
      </x:c>
    </x:row>
    <x:row r="136" ht="34" customHeight="1">
      <x:c r="A136" s="74" t="str">
        <x:v>RESIDENTIAL GARAGE DOOR</x:v>
      </x:c>
      <x:c r="B136" s="74" t="str">
        <x:v>803 East Mitchell Street, Petoskey, MI 49770-2631</x:v>
      </x:c>
      <x:c r="C136" s="74" t="str">
        <x:v>Petoskey</x:v>
      </x:c>
      <x:c r="D136" s="74" t="str">
        <x:v>231-347-8594</x:v>
      </x:c>
      <x:c r="E136" s="74" t="str"/>
      <x:c r="F136" s="74" t="str">
        <x:v>Install + Service/Repair</x:v>
      </x:c>
      <x:c r="G136" s="76"/>
      <x:c r="H136" s="78"/>
      <x:c r="I136" s="74" t="str">
        <x:v>Statewide / Clopay</x:v>
      </x:c>
      <x:c r="J136" s="74" t="str">
        <x:v>Clopay Authorized Dealer</x:v>
      </x:c>
      <x:c r="K136" s="74" t="str">
        <x:v>High</x:v>
      </x:c>
      <x:c r="L136" s="80" t="str">
        <x:v>https://www.clopaydoor.com/dealers/michigan/-page-3-</x:v>
      </x:c>
      <x:c r="M136" s="80" t="str"/>
      <x:c r="N136" s="74" t="str">
        <x:v>Clopay states its Michigan dealers provide new-door installation, time-sensitive repairs and preventive maintenance.</x:v>
      </x:c>
    </x:row>
    <x:row r="137" ht="34" customHeight="1">
      <x:c r="A137" s="74" t="str">
        <x:v>Rescom Door</x:v>
      </x:c>
      <x:c r="B137" s="74" t="str">
        <x:v>4088 M-36, Pinckney, MI 48169</x:v>
      </x:c>
      <x:c r="C137" s="74" t="str">
        <x:v>Pinckney</x:v>
      </x:c>
      <x:c r="D137" s="74" t="str">
        <x:v>810-247-4906</x:v>
      </x:c>
      <x:c r="E137" s="74" t="str"/>
      <x:c r="F137" s="74" t="str">
        <x:v>Install + Service/Repair</x:v>
      </x:c>
      <x:c r="G137" s="76" t="n">
        <x:v>5</x:v>
      </x:c>
      <x:c r="H137" s="78" t="n">
        <x:v>178</x:v>
      </x:c>
      <x:c r="I137" s="74" t="str">
        <x:v>Ann Arbor / Livingston</x:v>
      </x:c>
      <x:c r="J137" s="74" t="str">
        <x:v>Current Business Index</x:v>
      </x:c>
      <x:c r="K137" s="74" t="str">
        <x:v>High</x:v>
      </x:c>
      <x:c r="L137" s="80" t="str">
        <x:v>https://www.google.com/maps/search/?api=1&amp;query=Rescom+Door+4088+M-36%2C+Pinckney%2C+MI+48169+Michigan</x:v>
      </x:c>
      <x:c r="M137" s="80" t="str"/>
      <x:c r="N137" s="74" t="str">
        <x:v>Current 2026 business-index result explicitly describes repair and installation capability.</x:v>
      </x:c>
    </x:row>
    <x:row r="138" ht="34" customHeight="1">
      <x:c r="A138" s="74" t="str">
        <x:v>Blitz Garage Door Repair</x:v>
      </x:c>
      <x:c r="B138" s="74" t="str">
        <x:v>3506 Pine Grove Ave, Port Huron, MI 48060</x:v>
      </x:c>
      <x:c r="C138" s="74" t="str">
        <x:v>Port Huron</x:v>
      </x:c>
      <x:c r="D138" s="74" t="str">
        <x:v>810-356-5803</x:v>
      </x:c>
      <x:c r="E138" s="74" t="str"/>
      <x:c r="F138" s="74" t="str">
        <x:v>Install + Service/Repair</x:v>
      </x:c>
      <x:c r="G138" s="76" t="n">
        <x:v>5</x:v>
      </x:c>
      <x:c r="H138" s="78" t="n">
        <x:v>337</x:v>
      </x:c>
      <x:c r="I138" s="74" t="str">
        <x:v>Port Huron / St. Clair-Macomb</x:v>
      </x:c>
      <x:c r="J138" s="74" t="str">
        <x:v>Current Business Index</x:v>
      </x:c>
      <x:c r="K138" s="74" t="str">
        <x:v>High</x:v>
      </x:c>
      <x:c r="L138" s="80" t="str">
        <x:v>https://www.google.com/maps/search/?api=1&amp;query=Blitz+Garage+Door+Repair+3506+Pine+Grove+Ave%2C+Port+Huron%2C+MI+48060+Michigan</x:v>
      </x:c>
      <x:c r="M138" s="80" t="str"/>
      <x:c r="N138" s="74" t="str">
        <x:v>Current 2026 business-index result explicitly describes repair and installation capability.</x:v>
      </x:c>
    </x:row>
    <x:row r="139" ht="34" customHeight="1">
      <x:c r="A139" s="74" t="str">
        <x:v>Fawley Overhead Door</x:v>
      </x:c>
      <x:c r="B139" s="74" t="str">
        <x:v>6736 Lovers Lane, Portage, MI 49002-3606</x:v>
      </x:c>
      <x:c r="C139" s="74" t="str">
        <x:v>Portage</x:v>
      </x:c>
      <x:c r="D139" s="74" t="str">
        <x:v>269-327-2034</x:v>
      </x:c>
      <x:c r="E139" s="74" t="str"/>
      <x:c r="F139" s="74" t="str">
        <x:v>Install + Service/Repair</x:v>
      </x:c>
      <x:c r="G139" s="76"/>
      <x:c r="H139" s="78"/>
      <x:c r="I139" s="74" t="str">
        <x:v>Statewide / Clopay</x:v>
      </x:c>
      <x:c r="J139" s="74" t="str">
        <x:v>Clopay Authorized Dealer</x:v>
      </x:c>
      <x:c r="K139" s="74" t="str">
        <x:v>High</x:v>
      </x:c>
      <x:c r="L139" s="80" t="str">
        <x:v>https://www.clopaydoor.com/dealers/michigan/-page-1-</x:v>
      </x:c>
      <x:c r="M139" s="80" t="str"/>
      <x:c r="N139" s="74" t="str">
        <x:v>Clopay states its Michigan dealers provide new-door installation, time-sensitive repairs and preventive maintenance.</x:v>
      </x:c>
    </x:row>
    <x:row r="140" ht="34" customHeight="1">
      <x:c r="A140" s="74" t="str">
        <x:v>Mitten Garage Doors</x:v>
      </x:c>
      <x:c r="B140" s="74" t="str">
        <x:v>9920 Oakland Dr, Portage, MI 49024</x:v>
      </x:c>
      <x:c r="C140" s="74" t="str">
        <x:v>Portage</x:v>
      </x:c>
      <x:c r="D140" s="74" t="str">
        <x:v>269-492-1051</x:v>
      </x:c>
      <x:c r="E140" s="74" t="str"/>
      <x:c r="F140" s="74" t="str">
        <x:v>Install + Service/Repair</x:v>
      </x:c>
      <x:c r="G140" s="76" t="n">
        <x:v>5</x:v>
      </x:c>
      <x:c r="H140" s="78" t="n">
        <x:v>8</x:v>
      </x:c>
      <x:c r="I140" s="74" t="str">
        <x:v>Kalamazoo / Southwest Michigan</x:v>
      </x:c>
      <x:c r="J140" s="74" t="str">
        <x:v>Current Business Index</x:v>
      </x:c>
      <x:c r="K140" s="74" t="str">
        <x:v>Medium</x:v>
      </x:c>
      <x:c r="L140" s="80" t="str">
        <x:v>https://www.google.com/maps/search/?api=1&amp;query=Mitten+Garage+Doors+9920+Oakland+Dr%2C+Portage%2C+MI+49024+Michigan</x:v>
      </x:c>
      <x:c r="M140" s="80" t="str"/>
      <x:c r="N140" s="74" t="str">
        <x:v>Current 2026 business-index result explicitly describes repair and installation capability.</x:v>
      </x:c>
    </x:row>
    <x:row r="141" ht="34" customHeight="1">
      <x:c r="A141" s="74" t="str">
        <x:v>Stellar Overhead Door Co.</x:v>
      </x:c>
      <x:c r="B141" s="74" t="str">
        <x:v>872 56th St, Pullman, MI 49450</x:v>
      </x:c>
      <x:c r="C141" s="74" t="str">
        <x:v>Pullman</x:v>
      </x:c>
      <x:c r="D141" s="74" t="str">
        <x:v>989-701-9820</x:v>
      </x:c>
      <x:c r="E141" s="74" t="str"/>
      <x:c r="F141" s="74" t="str">
        <x:v>Install + Service/Repair</x:v>
      </x:c>
      <x:c r="G141" s="76" t="n">
        <x:v>5</x:v>
      </x:c>
      <x:c r="H141" s="78" t="n">
        <x:v>78</x:v>
      </x:c>
      <x:c r="I141" s="74" t="str">
        <x:v>Kalamazoo / Southwest Michigan</x:v>
      </x:c>
      <x:c r="J141" s="74" t="str">
        <x:v>Current Business Index</x:v>
      </x:c>
      <x:c r="K141" s="74" t="str">
        <x:v>High</x:v>
      </x:c>
      <x:c r="L141" s="80" t="str">
        <x:v>https://www.google.com/maps/search/?api=1&amp;query=Stellar+Overhead+Door+Co.+872+56th+St%2C+Pullman%2C+MI+49450+Michigan</x:v>
      </x:c>
      <x:c r="M141" s="80" t="str"/>
      <x:c r="N141" s="74" t="str">
        <x:v>Current 2026 business-index result explicitly describes repair and installation capability.</x:v>
      </x:c>
    </x:row>
    <x:row r="142" ht="34" customHeight="1">
      <x:c r="A142" s="74" t="str">
        <x:v>BEN’S GARAGE DOOR REPAIR</x:v>
      </x:c>
      <x:c r="B142" s="74" t="str"/>
      <x:c r="C142" s="74" t="str">
        <x:v>Redford</x:v>
      </x:c>
      <x:c r="D142" s="74" t="str">
        <x:v>313-600-2151</x:v>
      </x:c>
      <x:c r="E142" s="74" t="str"/>
      <x:c r="F142" s="74" t="str">
        <x:v>Install + Service/Repair</x:v>
      </x:c>
      <x:c r="G142" s="76" t="n">
        <x:v>5</x:v>
      </x:c>
      <x:c r="H142" s="78" t="n">
        <x:v>400</x:v>
      </x:c>
      <x:c r="I142" s="74" t="str">
        <x:v>Detroit / Southeast Michigan</x:v>
      </x:c>
      <x:c r="J142" s="74" t="str">
        <x:v>Current Business Index</x:v>
      </x:c>
      <x:c r="K142" s="74" t="str">
        <x:v>High</x:v>
      </x:c>
      <x:c r="L142" s="80" t="str">
        <x:v>https://www.google.com/maps/search/?api=1&amp;query=BEN%E2%80%99S+GARAGE+DOOR+REPAIR+Redford+Michigan</x:v>
      </x:c>
      <x:c r="M142" s="80" t="str"/>
      <x:c r="N142" s="74" t="str">
        <x:v>Current 2026 business-index result explicitly describes repair and installation capability.</x:v>
      </x:c>
    </x:row>
    <x:row r="143" ht="34" customHeight="1">
      <x:c r="A143" s="74" t="str">
        <x:v>Blitz Garage Door Repair</x:v>
      </x:c>
      <x:c r="B143" s="74" t="str">
        <x:v>8390 Gratiot Rd #12, Saginaw, MI 48609</x:v>
      </x:c>
      <x:c r="C143" s="74" t="str">
        <x:v>Saginaw</x:v>
      </x:c>
      <x:c r="D143" s="74" t="str">
        <x:v>989-208-2886</x:v>
      </x:c>
      <x:c r="E143" s="74" t="str"/>
      <x:c r="F143" s="74" t="str">
        <x:v>Install + Service/Repair</x:v>
      </x:c>
      <x:c r="G143" s="76" t="n">
        <x:v>4.9</x:v>
      </x:c>
      <x:c r="H143" s="78" t="n">
        <x:v>108</x:v>
      </x:c>
      <x:c r="I143" s="74" t="str">
        <x:v>Saginaw / Great Lakes Bay</x:v>
      </x:c>
      <x:c r="J143" s="74" t="str">
        <x:v>Current Business Index</x:v>
      </x:c>
      <x:c r="K143" s="74" t="str">
        <x:v>High</x:v>
      </x:c>
      <x:c r="L143" s="80" t="str">
        <x:v>https://www.google.com/maps/search/?api=1&amp;query=Blitz+Garage+Door+Repair+8390+Gratiot+Rd+%2312%2C+Saginaw%2C+MI+48609+Michigan</x:v>
      </x:c>
      <x:c r="M143" s="80" t="str"/>
      <x:c r="N143" s="74" t="str">
        <x:v>Current 2026 business-index result explicitly describes repair and installation capability.</x:v>
      </x:c>
    </x:row>
    <x:row r="144" ht="34" customHeight="1">
      <x:c r="A144" s="74" t="str">
        <x:v>Dover Doors &amp; Windows</x:v>
      </x:c>
      <x:c r="B144" s="74" t="str">
        <x:v>2857 Enterprise Ct, Saginaw, MI 48603</x:v>
      </x:c>
      <x:c r="C144" s="74" t="str">
        <x:v>Saginaw</x:v>
      </x:c>
      <x:c r="D144" s="74" t="str">
        <x:v>989-355-1519</x:v>
      </x:c>
      <x:c r="E144" s="74" t="str"/>
      <x:c r="F144" s="74" t="str">
        <x:v>Install + Service/Repair</x:v>
      </x:c>
      <x:c r="G144" s="76" t="n">
        <x:v>4.9</x:v>
      </x:c>
      <x:c r="H144" s="78" t="n">
        <x:v>468</x:v>
      </x:c>
      <x:c r="I144" s="74" t="str">
        <x:v>Saginaw / Great Lakes Bay</x:v>
      </x:c>
      <x:c r="J144" s="74" t="str">
        <x:v>Current Business Index</x:v>
      </x:c>
      <x:c r="K144" s="74" t="str">
        <x:v>High</x:v>
      </x:c>
      <x:c r="L144" s="80" t="str">
        <x:v>https://www.google.com/maps/search/?api=1&amp;query=Dover+Doors+%26+Windows+2857+Enterprise+Ct%2C+Saginaw%2C+MI+48603+Michigan</x:v>
      </x:c>
      <x:c r="M144" s="80" t="str"/>
      <x:c r="N144" s="74" t="str">
        <x:v>Current 2026 business-index result explicitly describes repair and installation capability.</x:v>
      </x:c>
    </x:row>
    <x:row r="145" ht="34" customHeight="1">
      <x:c r="A145" s="74" t="str">
        <x:v>J&amp;J Garage Door Service</x:v>
      </x:c>
      <x:c r="B145" s="74" t="str">
        <x:v>1720 State St, Saginaw, MI 48602</x:v>
      </x:c>
      <x:c r="C145" s="74" t="str">
        <x:v>Saginaw</x:v>
      </x:c>
      <x:c r="D145" s="74" t="str">
        <x:v>989-980-9886</x:v>
      </x:c>
      <x:c r="E145" s="74" t="str"/>
      <x:c r="F145" s="74" t="str">
        <x:v>Install + Service/Repair</x:v>
      </x:c>
      <x:c r="G145" s="76" t="n">
        <x:v>4.6</x:v>
      </x:c>
      <x:c r="H145" s="78" t="n">
        <x:v>9</x:v>
      </x:c>
      <x:c r="I145" s="74" t="str">
        <x:v>Saginaw / Great Lakes Bay</x:v>
      </x:c>
      <x:c r="J145" s="74" t="str">
        <x:v>Current Business Index</x:v>
      </x:c>
      <x:c r="K145" s="74" t="str">
        <x:v>Medium</x:v>
      </x:c>
      <x:c r="L145" s="80" t="str">
        <x:v>https://www.google.com/maps/search/?api=1&amp;query=J%26J+Garage+Door+Service+1720+State+St%2C+Saginaw%2C+MI+48602+Michigan</x:v>
      </x:c>
      <x:c r="M145" s="80" t="str"/>
      <x:c r="N145" s="74" t="str">
        <x:v>Current 2026 business-index result explicitly describes repair and installation capability.</x:v>
      </x:c>
    </x:row>
    <x:row r="146" ht="34" customHeight="1">
      <x:c r="A146" s="74" t="str">
        <x:v>Mid Michigan Garage Door - Saginaw</x:v>
      </x:c>
      <x:c r="B146" s="74" t="str">
        <x:v>413 Adams St, Ste 102, Saginaw, MI 48602</x:v>
      </x:c>
      <x:c r="C146" s="74" t="str">
        <x:v>Saginaw</x:v>
      </x:c>
      <x:c r="D146" s="74" t="str">
        <x:v>989-323-3667</x:v>
      </x:c>
      <x:c r="E146" s="74" t="str"/>
      <x:c r="F146" s="74" t="str">
        <x:v>Install + Service/Repair</x:v>
      </x:c>
      <x:c r="G146" s="76"/>
      <x:c r="H146" s="78" t="n">
        <x:v>0</x:v>
      </x:c>
      <x:c r="I146" s="74" t="str">
        <x:v>Saginaw / Great Lakes Bay</x:v>
      </x:c>
      <x:c r="J146" s="74" t="str">
        <x:v>Current Business Index</x:v>
      </x:c>
      <x:c r="K146" s="74" t="str">
        <x:v>Medium</x:v>
      </x:c>
      <x:c r="L146" s="80" t="str">
        <x:v>https://www.google.com/maps/search/?api=1&amp;query=Mid+Michigan+Garage+Door+-+Saginaw+413+Adams+St%2C+Ste+102%2C+Saginaw%2C+MI+48602+Michigan</x:v>
      </x:c>
      <x:c r="M146" s="80" t="str"/>
      <x:c r="N146" s="74" t="str">
        <x:v>Current 2026 business-index result explicitly describes repair and installation capability.</x:v>
      </x:c>
    </x:row>
    <x:row r="147" ht="34" customHeight="1">
      <x:c r="A147" s="74" t="str">
        <x:v>Norman the Doorman</x:v>
      </x:c>
      <x:c r="B147" s="74" t="str"/>
      <x:c r="C147" s="74" t="str">
        <x:v>Saginaw</x:v>
      </x:c>
      <x:c r="D147" s="74" t="str">
        <x:v>989-577-0661</x:v>
      </x:c>
      <x:c r="E147" s="74" t="str"/>
      <x:c r="F147" s="74" t="str">
        <x:v>Install + Service/Repair</x:v>
      </x:c>
      <x:c r="G147" s="76" t="n">
        <x:v>5</x:v>
      </x:c>
      <x:c r="H147" s="78" t="n">
        <x:v>1</x:v>
      </x:c>
      <x:c r="I147" s="74" t="str">
        <x:v>Saginaw / Great Lakes Bay</x:v>
      </x:c>
      <x:c r="J147" s="74" t="str">
        <x:v>Current Business Index</x:v>
      </x:c>
      <x:c r="K147" s="74" t="str">
        <x:v>Medium</x:v>
      </x:c>
      <x:c r="L147" s="80" t="str">
        <x:v>https://www.google.com/maps/search/?api=1&amp;query=Norman+the+Doorman+Saginaw+Michigan</x:v>
      </x:c>
      <x:c r="M147" s="80" t="str"/>
      <x:c r="N147" s="74" t="str">
        <x:v>Current 2026 business-index result explicitly describes repair and installation capability.</x:v>
      </x:c>
    </x:row>
    <x:row r="148" ht="34" customHeight="1">
      <x:c r="A148" s="74" t="str">
        <x:v>Precision Garage Door Service of Saginaw</x:v>
      </x:c>
      <x:c r="B148" s="74" t="str">
        <x:v>6321 Normandy Dr #4, Saginaw, MI 48638</x:v>
      </x:c>
      <x:c r="C148" s="74" t="str">
        <x:v>Saginaw</x:v>
      </x:c>
      <x:c r="D148" s="74" t="str">
        <x:v>989-778-6515</x:v>
      </x:c>
      <x:c r="E148" s="74" t="str"/>
      <x:c r="F148" s="74" t="str">
        <x:v>Install + Service/Repair</x:v>
      </x:c>
      <x:c r="G148" s="76" t="n">
        <x:v>5</x:v>
      </x:c>
      <x:c r="H148" s="78" t="n">
        <x:v>34</x:v>
      </x:c>
      <x:c r="I148" s="74" t="str">
        <x:v>Saginaw / Great Lakes Bay</x:v>
      </x:c>
      <x:c r="J148" s="74" t="str">
        <x:v>Current Business Index</x:v>
      </x:c>
      <x:c r="K148" s="74" t="str">
        <x:v>High</x:v>
      </x:c>
      <x:c r="L148" s="80" t="str">
        <x:v>https://www.google.com/maps/search/?api=1&amp;query=Precision+Garage+Door+Service+of+Saginaw+6321+Normandy+Dr+%234%2C+Saginaw%2C+MI+48638+Michigan</x:v>
      </x:c>
      <x:c r="M148" s="80" t="str"/>
      <x:c r="N148" s="74" t="str">
        <x:v>Current 2026 business-index result explicitly describes repair and installation capability.</x:v>
      </x:c>
    </x:row>
    <x:row r="149" ht="34" customHeight="1">
      <x:c r="A149" s="74" t="str">
        <x:v>Valley Garage Door Services</x:v>
      </x:c>
      <x:c r="B149" s="74" t="str">
        <x:v>3528 East St, Saginaw, MI 48601</x:v>
      </x:c>
      <x:c r="C149" s="74" t="str">
        <x:v>Saginaw</x:v>
      </x:c>
      <x:c r="D149" s="74" t="str">
        <x:v>989-751-0623</x:v>
      </x:c>
      <x:c r="E149" s="74" t="str"/>
      <x:c r="F149" s="74" t="str">
        <x:v>Install + Service/Repair</x:v>
      </x:c>
      <x:c r="G149" s="76"/>
      <x:c r="H149" s="78" t="n">
        <x:v>0</x:v>
      </x:c>
      <x:c r="I149" s="74" t="str">
        <x:v>Saginaw / Great Lakes Bay</x:v>
      </x:c>
      <x:c r="J149" s="74" t="str">
        <x:v>Current Business Index</x:v>
      </x:c>
      <x:c r="K149" s="74" t="str">
        <x:v>Medium</x:v>
      </x:c>
      <x:c r="L149" s="80" t="str">
        <x:v>https://www.google.com/maps/search/?api=1&amp;query=Valley+Garage+Door+Services+3528+East+St%2C+Saginaw%2C+MI+48601+Michigan</x:v>
      </x:c>
      <x:c r="M149" s="80" t="str"/>
      <x:c r="N149" s="74" t="str">
        <x:v>Current 2026 business-index result explicitly describes repair and installation capability.</x:v>
      </x:c>
    </x:row>
    <x:row r="150" ht="34" customHeight="1">
      <x:c r="A150" s="74" t="str">
        <x:v>SCHWEIHOFER DOORS INC</x:v>
      </x:c>
      <x:c r="B150" s="74" t="str">
        <x:v>4737 RATTLE RUN RD, SAINT CLAIR, MI 48079-4728</x:v>
      </x:c>
      <x:c r="C150" s="74" t="str">
        <x:v>Saint Clair</x:v>
      </x:c>
      <x:c r="D150" s="74" t="str">
        <x:v>810-329-4093</x:v>
      </x:c>
      <x:c r="E150" s="74" t="str"/>
      <x:c r="F150" s="74" t="str">
        <x:v>Install + Service/Repair</x:v>
      </x:c>
      <x:c r="G150" s="76"/>
      <x:c r="H150" s="78"/>
      <x:c r="I150" s="74" t="str">
        <x:v>Statewide / Clopay</x:v>
      </x:c>
      <x:c r="J150" s="74" t="str">
        <x:v>Clopay Authorized Dealer</x:v>
      </x:c>
      <x:c r="K150" s="74" t="str">
        <x:v>High</x:v>
      </x:c>
      <x:c r="L150" s="80" t="str">
        <x:v>https://www.clopaydoor.com/dealers/michigan/-page-3-</x:v>
      </x:c>
      <x:c r="M150" s="80" t="str"/>
      <x:c r="N150" s="74" t="str">
        <x:v>Clopay states its Michigan dealers provide new-door installation, time-sensitive repairs and preventive maintenance.</x:v>
      </x:c>
    </x:row>
    <x:row r="151" ht="34" customHeight="1">
      <x:c r="A151" s="74" t="str">
        <x:v>PERFORMANCE FIBERGLASS INC</x:v>
      </x:c>
      <x:c r="B151" s="74" t="str">
        <x:v>14017 23 MILE RD, SHELBY TOWNSHIP, MI 48315</x:v>
      </x:c>
      <x:c r="C151" s="74" t="str">
        <x:v>Shelby Township</x:v>
      </x:c>
      <x:c r="D151" s="74" t="str">
        <x:v>586-262-3700</x:v>
      </x:c>
      <x:c r="E151" s="74" t="str"/>
      <x:c r="F151" s="74" t="str">
        <x:v>Install + Service/Repair</x:v>
      </x:c>
      <x:c r="G151" s="76"/>
      <x:c r="H151" s="78"/>
      <x:c r="I151" s="74" t="str">
        <x:v>Statewide / Clopay</x:v>
      </x:c>
      <x:c r="J151" s="74" t="str">
        <x:v>Clopay Authorized Dealer</x:v>
      </x:c>
      <x:c r="K151" s="74" t="str">
        <x:v>High</x:v>
      </x:c>
      <x:c r="L151" s="80" t="str">
        <x:v>https://www.clopaydoor.com/dealers/michigan/-page-2-</x:v>
      </x:c>
      <x:c r="M151" s="80" t="str"/>
      <x:c r="N151" s="74" t="str">
        <x:v>Clopay states its Michigan dealers provide new-door installation, time-sensitive repairs and preventive maintenance.</x:v>
      </x:c>
    </x:row>
    <x:row r="152" ht="34" customHeight="1">
      <x:c r="A152" s="74" t="str">
        <x:v>Proper Garage Doors LLC</x:v>
      </x:c>
      <x:c r="B152" s="74" t="str">
        <x:v>50437 Hayes Rd, Shelby Township, MI 48315</x:v>
      </x:c>
      <x:c r="C152" s="74" t="str">
        <x:v>Shelby Township</x:v>
      </x:c>
      <x:c r="D152" s="74" t="str">
        <x:v>586-531-6764</x:v>
      </x:c>
      <x:c r="E152" s="74" t="str"/>
      <x:c r="F152" s="74" t="str">
        <x:v>Install + Service/Repair</x:v>
      </x:c>
      <x:c r="G152" s="76"/>
      <x:c r="H152" s="78"/>
      <x:c r="I152" s="74" t="str">
        <x:v>Statewide / Clopay</x:v>
      </x:c>
      <x:c r="J152" s="74" t="str">
        <x:v>Clopay Authorized Dealer</x:v>
      </x:c>
      <x:c r="K152" s="74" t="str">
        <x:v>High</x:v>
      </x:c>
      <x:c r="L152" s="80" t="str">
        <x:v>https://www.clopaydoor.com/dealers/michigan/-page-3-</x:v>
      </x:c>
      <x:c r="M152" s="80" t="str"/>
      <x:c r="N152" s="74" t="str">
        <x:v>Clopay states its Michigan dealers provide new-door installation, time-sensitive repairs and preventive maintenance.</x:v>
      </x:c>
    </x:row>
    <x:row r="153" ht="34" customHeight="1">
      <x:c r="A153" s="74" t="str">
        <x:v>Quality Door of South Haven Inc.</x:v>
      </x:c>
      <x:c r="B153" s="74" t="str">
        <x:v>05666 CR 687, South Haven, MI 49090</x:v>
      </x:c>
      <x:c r="C153" s="74" t="str">
        <x:v>South Haven</x:v>
      </x:c>
      <x:c r="D153" s="74" t="str">
        <x:v>269-637-8761</x:v>
      </x:c>
      <x:c r="E153" s="74" t="str"/>
      <x:c r="F153" s="74" t="str">
        <x:v>Install + Service/Repair</x:v>
      </x:c>
      <x:c r="G153" s="76"/>
      <x:c r="H153" s="78"/>
      <x:c r="I153" s="74" t="str">
        <x:v>Statewide / Clopay</x:v>
      </x:c>
      <x:c r="J153" s="74" t="str">
        <x:v>Clopay Authorized Dealer</x:v>
      </x:c>
      <x:c r="K153" s="74" t="str">
        <x:v>High</x:v>
      </x:c>
      <x:c r="L153" s="80" t="str">
        <x:v>https://www.clopaydoor.com/dealers/michigan/-page-3-</x:v>
      </x:c>
      <x:c r="M153" s="80" t="str"/>
      <x:c r="N153" s="74" t="str">
        <x:v>Clopay states its Michigan dealers provide new-door installation, time-sensitive repairs and preventive maintenance.</x:v>
      </x:c>
    </x:row>
    <x:row r="154" ht="34" customHeight="1">
      <x:c r="A154" s="74" t="str">
        <x:v>BECKWAY DOOR</x:v>
      </x:c>
      <x:c r="B154" s="74" t="str">
        <x:v>505 East Lake Street, South Lyon, MI 48178-2124</x:v>
      </x:c>
      <x:c r="C154" s="74" t="str">
        <x:v>South Lyon</x:v>
      </x:c>
      <x:c r="D154" s="74" t="str">
        <x:v>248-486-3667</x:v>
      </x:c>
      <x:c r="E154" s="74" t="str"/>
      <x:c r="F154" s="74" t="str">
        <x:v>Install + Service/Repair</x:v>
      </x:c>
      <x:c r="G154" s="76"/>
      <x:c r="H154" s="78"/>
      <x:c r="I154" s="74" t="str">
        <x:v>Statewide / Clopay</x:v>
      </x:c>
      <x:c r="J154" s="74" t="str">
        <x:v>Clopay Authorized Dealer</x:v>
      </x:c>
      <x:c r="K154" s="74" t="str">
        <x:v>High</x:v>
      </x:c>
      <x:c r="L154" s="80" t="str">
        <x:v>https://www.clopaydoor.com/dealers/michigan/-page-1-</x:v>
      </x:c>
      <x:c r="M154" s="80" t="str"/>
      <x:c r="N154" s="74" t="str">
        <x:v>Clopay states its Michigan dealers provide new-door installation, time-sensitive repairs and preventive maintenance.</x:v>
      </x:c>
    </x:row>
    <x:row r="155" ht="34" customHeight="1">
      <x:c r="A155" s="74" t="str">
        <x:v>Elite Garage Door Repair of Southfield</x:v>
      </x:c>
      <x:c r="B155" s="74" t="str"/>
      <x:c r="C155" s="74" t="str">
        <x:v>Southfield</x:v>
      </x:c>
      <x:c r="D155" s="74" t="str">
        <x:v>248-469-8728</x:v>
      </x:c>
      <x:c r="E155" s="74" t="str"/>
      <x:c r="F155" s="74" t="str">
        <x:v>Install + Service/Repair</x:v>
      </x:c>
      <x:c r="G155" s="76" t="n">
        <x:v>4.9</x:v>
      </x:c>
      <x:c r="H155" s="78" t="n">
        <x:v>206</x:v>
      </x:c>
      <x:c r="I155" s="74" t="str">
        <x:v>Detroit / Southeast Michigan</x:v>
      </x:c>
      <x:c r="J155" s="74" t="str">
        <x:v>Current Business Index</x:v>
      </x:c>
      <x:c r="K155" s="74" t="str">
        <x:v>High</x:v>
      </x:c>
      <x:c r="L155" s="80" t="str">
        <x:v>https://www.google.com/maps/search/?api=1&amp;query=Elite+Garage+Door+Repair+of+Southfield+Southfield+Michigan</x:v>
      </x:c>
      <x:c r="M155" s="80" t="str"/>
      <x:c r="N155" s="74" t="str">
        <x:v>Current 2026 business-index result explicitly describes repair and installation capability.</x:v>
      </x:c>
    </x:row>
    <x:row r="156" ht="34" customHeight="1">
      <x:c r="A156" s="74" t="str">
        <x:v>Ahlstrom Doors</x:v>
      </x:c>
      <x:c r="B156" s="74" t="str">
        <x:v>3113 Earl Dr, Spring Arbor, MI 49283</x:v>
      </x:c>
      <x:c r="C156" s="74" t="str">
        <x:v>Spring Arbor</x:v>
      </x:c>
      <x:c r="D156" s="74" t="str">
        <x:v>517-414-3818</x:v>
      </x:c>
      <x:c r="E156" s="74" t="str"/>
      <x:c r="F156" s="74" t="str">
        <x:v>Install + Service/Repair</x:v>
      </x:c>
      <x:c r="G156" s="76" t="n">
        <x:v>5</x:v>
      </x:c>
      <x:c r="H156" s="78" t="n">
        <x:v>16</x:v>
      </x:c>
      <x:c r="I156" s="74" t="str">
        <x:v>Jackson / South-Central Michigan</x:v>
      </x:c>
      <x:c r="J156" s="74" t="str">
        <x:v>Current Business Index</x:v>
      </x:c>
      <x:c r="K156" s="74" t="str">
        <x:v>High</x:v>
      </x:c>
      <x:c r="L156" s="80" t="str">
        <x:v>https://www.google.com/maps/search/?api=1&amp;query=Ahlstrom+Doors+3113+Earl+Dr%2C+Spring+Arbor%2C+MI+49283+Michigan</x:v>
      </x:c>
      <x:c r="M156" s="80" t="str"/>
      <x:c r="N156" s="74" t="str">
        <x:v>Current 2026 business-index result explicitly describes repair and installation capability.</x:v>
      </x:c>
    </x:row>
    <x:row r="157" ht="34" customHeight="1">
      <x:c r="A157" s="74" t="str">
        <x:v>Garage Door Specialist</x:v>
      </x:c>
      <x:c r="B157" s="74" t="str">
        <x:v>14860 Michael Ln, Spring Lake, MI 49456</x:v>
      </x:c>
      <x:c r="C157" s="74" t="str">
        <x:v>Spring Lake</x:v>
      </x:c>
      <x:c r="D157" s="74" t="str">
        <x:v>616-842-7352</x:v>
      </x:c>
      <x:c r="E157" s="74" t="str"/>
      <x:c r="F157" s="74" t="str">
        <x:v>Install + Service/Repair</x:v>
      </x:c>
      <x:c r="G157" s="76" t="n">
        <x:v>5</x:v>
      </x:c>
      <x:c r="H157" s="78" t="n">
        <x:v>90</x:v>
      </x:c>
      <x:c r="I157" s="74" t="str">
        <x:v>Muskegon / Lakeshore</x:v>
      </x:c>
      <x:c r="J157" s="74" t="str">
        <x:v>Current Business Index</x:v>
      </x:c>
      <x:c r="K157" s="74" t="str">
        <x:v>High</x:v>
      </x:c>
      <x:c r="L157" s="80" t="str">
        <x:v>https://www.google.com/maps/search/?api=1&amp;query=Garage+Door+Specialist+14860+Michael+Ln%2C+Spring+Lake%2C+MI+49456+Michigan</x:v>
      </x:c>
      <x:c r="M157" s="80" t="str"/>
      <x:c r="N157" s="74" t="str">
        <x:v>Current 2026 business-index result explicitly describes repair and installation capability.</x:v>
      </x:c>
    </x:row>
    <x:row r="158" ht="34" customHeight="1">
      <x:c r="A158" s="74" t="str">
        <x:v>TAYLOR DOOR CO OF ST CLAIR COUNTY</x:v>
      </x:c>
      <x:c r="B158" s="74" t="str">
        <x:v>20525 E 9 Mile Road, St. Clair Shores, MI 48080</x:v>
      </x:c>
      <x:c r="C158" s="74" t="str">
        <x:v>St. Clair Shores</x:v>
      </x:c>
      <x:c r="D158" s="74" t="str">
        <x:v>586-755-6500</x:v>
      </x:c>
      <x:c r="E158" s="74" t="str"/>
      <x:c r="F158" s="74" t="str">
        <x:v>Install + Service/Repair</x:v>
      </x:c>
      <x:c r="G158" s="76"/>
      <x:c r="H158" s="78"/>
      <x:c r="I158" s="74" t="str">
        <x:v>Statewide / Clopay</x:v>
      </x:c>
      <x:c r="J158" s="74" t="str">
        <x:v>Clopay Authorized Dealer</x:v>
      </x:c>
      <x:c r="K158" s="74" t="str">
        <x:v>High</x:v>
      </x:c>
      <x:c r="L158" s="80" t="str">
        <x:v>https://www.clopaydoor.com/dealers/michigan/-page-3-</x:v>
      </x:c>
      <x:c r="M158" s="80" t="str"/>
      <x:c r="N158" s="74" t="str">
        <x:v>Clopay states its Michigan dealers provide new-door installation, time-sensitive repairs and preventive maintenance.</x:v>
      </x:c>
    </x:row>
    <x:row r="159" ht="34" customHeight="1">
      <x:c r="A159" s="74" t="str">
        <x:v>Sterling Garage Door</x:v>
      </x:c>
      <x:c r="B159" s="74" t="str"/>
      <x:c r="C159" s="74" t="str">
        <x:v>Sterling Heights</x:v>
      </x:c>
      <x:c r="D159" s="74" t="str">
        <x:v>586-412-5600</x:v>
      </x:c>
      <x:c r="E159" s="74" t="str"/>
      <x:c r="F159" s="74" t="str">
        <x:v>Install + Service/Repair</x:v>
      </x:c>
      <x:c r="G159" s="76" t="n">
        <x:v>4.9</x:v>
      </x:c>
      <x:c r="H159" s="78" t="n">
        <x:v>734</x:v>
      </x:c>
      <x:c r="I159" s="74" t="str">
        <x:v>Detroit / Southeast Michigan</x:v>
      </x:c>
      <x:c r="J159" s="74" t="str">
        <x:v>Current Business Index</x:v>
      </x:c>
      <x:c r="K159" s="74" t="str">
        <x:v>High</x:v>
      </x:c>
      <x:c r="L159" s="80" t="str">
        <x:v>https://www.google.com/maps/search/?api=1&amp;query=Sterling+Garage+Door+Sterling+Heights+Michigan</x:v>
      </x:c>
      <x:c r="M159" s="80" t="str"/>
      <x:c r="N159" s="74" t="str">
        <x:v>Current 2026 business-index result explicitly describes repair and installation capability.</x:v>
      </x:c>
    </x:row>
    <x:row r="160" ht="34" customHeight="1">
      <x:c r="A160" s="74" t="str">
        <x:v>West Metro Door &amp; Window Inc</x:v>
      </x:c>
      <x:c r="B160" s="74" t="str">
        <x:v>25220 Northline Rd, Taylor, MI 48180</x:v>
      </x:c>
      <x:c r="C160" s="74" t="str">
        <x:v>Taylor</x:v>
      </x:c>
      <x:c r="D160" s="74" t="str">
        <x:v>313-291-6005</x:v>
      </x:c>
      <x:c r="E160" s="74" t="str"/>
      <x:c r="F160" s="74" t="str">
        <x:v>Install + Service/Repair</x:v>
      </x:c>
      <x:c r="G160" s="76"/>
      <x:c r="H160" s="78"/>
      <x:c r="I160" s="74" t="str">
        <x:v>Statewide / Clopay</x:v>
      </x:c>
      <x:c r="J160" s="74" t="str">
        <x:v>Clopay Authorized Dealer</x:v>
      </x:c>
      <x:c r="K160" s="74" t="str">
        <x:v>High</x:v>
      </x:c>
      <x:c r="L160" s="80" t="str">
        <x:v>https://www.clopaydoor.com/dealers/michigan/-page-3-</x:v>
      </x:c>
      <x:c r="M160" s="80" t="str"/>
      <x:c r="N160" s="74" t="str">
        <x:v>Clopay states its Michigan dealers provide new-door installation, time-sensitive repairs and preventive maintenance.</x:v>
      </x:c>
    </x:row>
    <x:row r="161" ht="34" customHeight="1">
      <x:c r="A161" s="74" t="str">
        <x:v>Hallzy's Garage Door LLC</x:v>
      </x:c>
      <x:c r="B161" s="74" t="str">
        <x:v>14589 Judson Ave, Thompsonville, MI 49683</x:v>
      </x:c>
      <x:c r="C161" s="74" t="str">
        <x:v>Thompsonville</x:v>
      </x:c>
      <x:c r="D161" s="74" t="str">
        <x:v>231-970-1350</x:v>
      </x:c>
      <x:c r="E161" s="74" t="str"/>
      <x:c r="F161" s="74" t="str">
        <x:v>Install + Service/Repair</x:v>
      </x:c>
      <x:c r="G161" s="76" t="n">
        <x:v>5</x:v>
      </x:c>
      <x:c r="H161" s="78" t="n">
        <x:v>29</x:v>
      </x:c>
      <x:c r="I161" s="74" t="str">
        <x:v>Traverse City / Northern Michigan</x:v>
      </x:c>
      <x:c r="J161" s="74" t="str">
        <x:v>Current Business Index</x:v>
      </x:c>
      <x:c r="K161" s="74" t="str">
        <x:v>High</x:v>
      </x:c>
      <x:c r="L161" s="80" t="str">
        <x:v>https://www.google.com/maps/search/?api=1&amp;query=Hallzy%27s+Garage+Door+LLC+14589+Judson+Ave%2C+Thompsonville%2C+MI+49683+Michigan</x:v>
      </x:c>
      <x:c r="M161" s="80" t="str"/>
      <x:c r="N161" s="74" t="str">
        <x:v>Current 2026 business-index result explicitly describes repair and installation capability.</x:v>
      </x:c>
    </x:row>
    <x:row r="162" ht="34" customHeight="1">
      <x:c r="A162" s="74" t="str">
        <x:v>Barnsmiths LLC</x:v>
      </x:c>
      <x:c r="B162" s="74" t="str">
        <x:v>14430 Hoffman Road, Three Rivers, MI 49093-9703</x:v>
      </x:c>
      <x:c r="C162" s="74" t="str">
        <x:v>Three Rivers</x:v>
      </x:c>
      <x:c r="D162" s="74" t="str">
        <x:v>408-772-5064</x:v>
      </x:c>
      <x:c r="E162" s="74" t="str"/>
      <x:c r="F162" s="74" t="str">
        <x:v>Install + Service/Repair</x:v>
      </x:c>
      <x:c r="G162" s="76"/>
      <x:c r="H162" s="78"/>
      <x:c r="I162" s="74" t="str">
        <x:v>Statewide / Clopay</x:v>
      </x:c>
      <x:c r="J162" s="74" t="str">
        <x:v>Clopay Authorized Dealer</x:v>
      </x:c>
      <x:c r="K162" s="74" t="str">
        <x:v>High</x:v>
      </x:c>
      <x:c r="L162" s="80" t="str">
        <x:v>https://www.clopaydoor.com/dealers/michigan/-page-1-</x:v>
      </x:c>
      <x:c r="M162" s="80" t="str"/>
      <x:c r="N162" s="74" t="str">
        <x:v>Clopay states its Michigan dealers provide new-door installation, time-sensitive repairs and preventive maintenance.</x:v>
      </x:c>
    </x:row>
    <x:row r="163" ht="34" customHeight="1">
      <x:c r="A163" s="74" t="str">
        <x:v>Fawley Overhead Door - Three Rivers</x:v>
      </x:c>
      <x:c r="B163" s="74" t="str">
        <x:v>145 W Michigan Ave, Three Rivers, MI 49093</x:v>
      </x:c>
      <x:c r="C163" s="74" t="str">
        <x:v>Three Rivers</x:v>
      </x:c>
      <x:c r="D163" s="74" t="str">
        <x:v>269-443-1093</x:v>
      </x:c>
      <x:c r="E163" s="74" t="str"/>
      <x:c r="F163" s="74" t="str">
        <x:v>Install + Service/Repair</x:v>
      </x:c>
      <x:c r="G163" s="76" t="n">
        <x:v>5</x:v>
      </x:c>
      <x:c r="H163" s="78" t="n">
        <x:v>104</x:v>
      </x:c>
      <x:c r="I163" s="74" t="str">
        <x:v>Kalamazoo / Southwest Michigan</x:v>
      </x:c>
      <x:c r="J163" s="74" t="str">
        <x:v>Current Business Index</x:v>
      </x:c>
      <x:c r="K163" s="74" t="str">
        <x:v>High</x:v>
      </x:c>
      <x:c r="L163" s="80" t="str">
        <x:v>https://www.google.com/maps/search/?api=1&amp;query=Fawley+Overhead+Door+-+Three+Rivers+145+W+Michigan+Ave%2C+Three+Rivers%2C+MI+49093+Michigan</x:v>
      </x:c>
      <x:c r="M163" s="80" t="str"/>
      <x:c r="N163" s="74" t="str">
        <x:v>Current 2026 business-index result explicitly describes repair and installation capability.</x:v>
      </x:c>
    </x:row>
    <x:row r="164" ht="34" customHeight="1">
      <x:c r="A164" s="74" t="str">
        <x:v>B&amp;B Garage Doors and More</x:v>
      </x:c>
      <x:c r="B164" s="74" t="str">
        <x:v>3890 S Blue Star Dr Ste A, Traverse City, MI 49685</x:v>
      </x:c>
      <x:c r="C164" s="74" t="str">
        <x:v>Traverse City</x:v>
      </x:c>
      <x:c r="D164" s="74" t="str">
        <x:v>231-360-5442</x:v>
      </x:c>
      <x:c r="E164" s="74" t="str"/>
      <x:c r="F164" s="74" t="str">
        <x:v>Install + Service/Repair</x:v>
      </x:c>
      <x:c r="G164" s="76" t="n">
        <x:v>5</x:v>
      </x:c>
      <x:c r="H164" s="78" t="n">
        <x:v>207</x:v>
      </x:c>
      <x:c r="I164" s="74" t="str">
        <x:v>Traverse City / Northern Michigan</x:v>
      </x:c>
      <x:c r="J164" s="74" t="str">
        <x:v>Current Business Index</x:v>
      </x:c>
      <x:c r="K164" s="74" t="str">
        <x:v>High</x:v>
      </x:c>
      <x:c r="L164" s="80" t="str">
        <x:v>https://www.google.com/maps/search/?api=1&amp;query=B%26B+Garage+Doors+and+More+3890+S+Blue+Star+Dr+Ste+A%2C+Traverse+City%2C+MI+49685+Michigan</x:v>
      </x:c>
      <x:c r="M164" s="80" t="str"/>
      <x:c r="N164" s="74" t="str">
        <x:v>Current 2026 business-index result explicitly describes repair and installation capability.</x:v>
      </x:c>
    </x:row>
    <x:row r="165" ht="34" customHeight="1">
      <x:c r="A165" s="74" t="str">
        <x:v>Compaan Garage Doors</x:v>
      </x:c>
      <x:c r="B165" s="74" t="str">
        <x:v>1606 Barlow St, Ste 2, Traverse City, MI 49686</x:v>
      </x:c>
      <x:c r="C165" s="74" t="str">
        <x:v>Traverse City</x:v>
      </x:c>
      <x:c r="D165" s="74" t="str">
        <x:v>231-943-1111</x:v>
      </x:c>
      <x:c r="E165" s="74" t="str"/>
      <x:c r="F165" s="74" t="str">
        <x:v>Install + Service/Repair</x:v>
      </x:c>
      <x:c r="G165" s="76"/>
      <x:c r="H165" s="78" t="n">
        <x:v>0</x:v>
      </x:c>
      <x:c r="I165" s="74" t="str">
        <x:v>Traverse City / Northern Michigan</x:v>
      </x:c>
      <x:c r="J165" s="74" t="str">
        <x:v>Current Business Index</x:v>
      </x:c>
      <x:c r="K165" s="74" t="str">
        <x:v>Medium</x:v>
      </x:c>
      <x:c r="L165" s="80" t="str">
        <x:v>https://www.google.com/maps/search/?api=1&amp;query=Compaan+Garage+Doors+1606+Barlow+St%2C+Ste+2%2C+Traverse+City%2C+MI+49686+Michigan</x:v>
      </x:c>
      <x:c r="M165" s="80" t="str"/>
      <x:c r="N165" s="74" t="str">
        <x:v>Current 2026 business-index result explicitly describes repair and installation capability.</x:v>
      </x:c>
    </x:row>
    <x:row r="166" ht="34" customHeight="1">
      <x:c r="A166" s="74" t="str">
        <x:v>Garage Door Services</x:v>
      </x:c>
      <x:c r="B166" s="74" t="str">
        <x:v>2550 Preston Dr, Traverse City, MI 49684</x:v>
      </x:c>
      <x:c r="C166" s="74" t="str">
        <x:v>Traverse City</x:v>
      </x:c>
      <x:c r="D166" s="74" t="str">
        <x:v>231-947-5151</x:v>
      </x:c>
      <x:c r="E166" s="74" t="str"/>
      <x:c r="F166" s="74" t="str">
        <x:v>Install + Service/Repair</x:v>
      </x:c>
      <x:c r="G166" s="76" t="n">
        <x:v>3.4</x:v>
      </x:c>
      <x:c r="H166" s="78" t="n">
        <x:v>16</x:v>
      </x:c>
      <x:c r="I166" s="74" t="str">
        <x:v>Traverse City / Northern Michigan</x:v>
      </x:c>
      <x:c r="J166" s="74" t="str">
        <x:v>Current Business Index</x:v>
      </x:c>
      <x:c r="K166" s="74" t="str">
        <x:v>High</x:v>
      </x:c>
      <x:c r="L166" s="80" t="str">
        <x:v>https://www.google.com/maps/search/?api=1&amp;query=Garage+Door+Services+2550+Preston+Dr%2C+Traverse+City%2C+MI+49684+Michigan</x:v>
      </x:c>
      <x:c r="M166" s="80" t="str"/>
      <x:c r="N166" s="74" t="str">
        <x:v>Current 2026 business-index result explicitly describes repair and installation capability.</x:v>
      </x:c>
    </x:row>
    <x:row r="167" ht="34" customHeight="1">
      <x:c r="A167" s="74" t="str">
        <x:v>Grand Traverse Garage Door</x:v>
      </x:c>
      <x:c r="B167" s="74" t="str">
        <x:v>823 W Commerce Dr, Traverse City, MI 49685</x:v>
      </x:c>
      <x:c r="C167" s="74" t="str">
        <x:v>Traverse City</x:v>
      </x:c>
      <x:c r="D167" s="74" t="str">
        <x:v>231-943-9970</x:v>
      </x:c>
      <x:c r="E167" s="74" t="str"/>
      <x:c r="F167" s="74" t="str">
        <x:v>Install + Service/Repair</x:v>
      </x:c>
      <x:c r="G167" s="76" t="n">
        <x:v>4</x:v>
      </x:c>
      <x:c r="H167" s="78" t="n">
        <x:v>3</x:v>
      </x:c>
      <x:c r="I167" s="74" t="str">
        <x:v>Traverse City / Northern Michigan</x:v>
      </x:c>
      <x:c r="J167" s="74" t="str">
        <x:v>Current Business Index</x:v>
      </x:c>
      <x:c r="K167" s="74" t="str">
        <x:v>Medium</x:v>
      </x:c>
      <x:c r="L167" s="80" t="str">
        <x:v>https://www.google.com/maps/search/?api=1&amp;query=Grand+Traverse+Garage+Door+823+W+Commerce+Dr%2C+Traverse+City%2C+MI+49685+Michigan</x:v>
      </x:c>
      <x:c r="M167" s="80" t="str"/>
      <x:c r="N167" s="74" t="str">
        <x:v>Current 2026 business-index result explicitly describes repair and installation capability.</x:v>
      </x:c>
    </x:row>
    <x:row r="168" ht="34" customHeight="1">
      <x:c r="A168" s="74" t="str">
        <x:v>M&amp;M Garage Doors</x:v>
      </x:c>
      <x:c r="B168" s="74" t="str">
        <x:v>201 E Seventeenth St Ste D, Traverse City, MI 49684</x:v>
      </x:c>
      <x:c r="C168" s="74" t="str">
        <x:v>Traverse City</x:v>
      </x:c>
      <x:c r="D168" s="74" t="str">
        <x:v>231-383-6682</x:v>
      </x:c>
      <x:c r="E168" s="74" t="str"/>
      <x:c r="F168" s="74" t="str">
        <x:v>Install + Service/Repair</x:v>
      </x:c>
      <x:c r="G168" s="76" t="n">
        <x:v>4.7</x:v>
      </x:c>
      <x:c r="H168" s="78" t="n">
        <x:v>12</x:v>
      </x:c>
      <x:c r="I168" s="74" t="str">
        <x:v>Traverse City / Northern Michigan</x:v>
      </x:c>
      <x:c r="J168" s="74" t="str">
        <x:v>Current Business Index</x:v>
      </x:c>
      <x:c r="K168" s="74" t="str">
        <x:v>High</x:v>
      </x:c>
      <x:c r="L168" s="80" t="str">
        <x:v>https://www.google.com/maps/search/?api=1&amp;query=M%26M+Garage+Doors+201+E+Seventeenth+St+Ste+D%2C+Traverse+City%2C+MI+49684+Michigan</x:v>
      </x:c>
      <x:c r="M168" s="80" t="str"/>
      <x:c r="N168" s="74" t="str">
        <x:v>Current 2026 business-index result explicitly describes repair and installation capability.</x:v>
      </x:c>
    </x:row>
    <x:row r="169" ht="34" customHeight="1">
      <x:c r="A169" s="74" t="str">
        <x:v>NGD INC DBA NORTHERN GARAGE DOORS</x:v>
      </x:c>
      <x:c r="B169" s="74" t="str">
        <x:v>829 ROBINWOOD COURT, TRAVERSE CITY, MI 49686</x:v>
      </x:c>
      <x:c r="C169" s="74" t="str">
        <x:v>Traverse City</x:v>
      </x:c>
      <x:c r="D169" s="74" t="str">
        <x:v>231-941-0381</x:v>
      </x:c>
      <x:c r="E169" s="74" t="str"/>
      <x:c r="F169" s="74" t="str">
        <x:v>Install + Service/Repair</x:v>
      </x:c>
      <x:c r="G169" s="76"/>
      <x:c r="H169" s="78"/>
      <x:c r="I169" s="74" t="str">
        <x:v>Statewide / Clopay</x:v>
      </x:c>
      <x:c r="J169" s="74" t="str">
        <x:v>Clopay Authorized Dealer</x:v>
      </x:c>
      <x:c r="K169" s="74" t="str">
        <x:v>High</x:v>
      </x:c>
      <x:c r="L169" s="80" t="str">
        <x:v>https://www.clopaydoor.com/dealers/michigan/-page-2-</x:v>
      </x:c>
      <x:c r="M169" s="80" t="str"/>
      <x:c r="N169" s="74" t="str">
        <x:v>Clopay states its Michigan dealers provide new-door installation, time-sensitive repairs and preventive maintenance.</x:v>
      </x:c>
    </x:row>
    <x:row r="170" ht="34" customHeight="1">
      <x:c r="A170" s="74" t="str">
        <x:v>Precise Door Company</x:v>
      </x:c>
      <x:c r="B170" s="74" t="str">
        <x:v>926 W South Airport Rd, Traverse City, MI 49686</x:v>
      </x:c>
      <x:c r="C170" s="74" t="str">
        <x:v>Traverse City</x:v>
      </x:c>
      <x:c r="D170" s="74" t="str">
        <x:v>231-276-6601</x:v>
      </x:c>
      <x:c r="E170" s="74" t="str"/>
      <x:c r="F170" s="74" t="str">
        <x:v>Install + Service/Repair</x:v>
      </x:c>
      <x:c r="G170" s="76" t="n">
        <x:v>4</x:v>
      </x:c>
      <x:c r="H170" s="78" t="n">
        <x:v>3</x:v>
      </x:c>
      <x:c r="I170" s="74" t="str">
        <x:v>Traverse City / Northern Michigan</x:v>
      </x:c>
      <x:c r="J170" s="74" t="str">
        <x:v>Current Business Index</x:v>
      </x:c>
      <x:c r="K170" s="74" t="str">
        <x:v>Medium</x:v>
      </x:c>
      <x:c r="L170" s="80" t="str">
        <x:v>https://www.google.com/maps/search/?api=1&amp;query=Precise+Door+Company+926+W+South+Airport+Rd%2C+Traverse+City%2C+MI+49686+Michigan</x:v>
      </x:c>
      <x:c r="M170" s="80" t="str"/>
      <x:c r="N170" s="74" t="str">
        <x:v>Current 2026 business-index result explicitly describes repair and installation capability.</x:v>
      </x:c>
    </x:row>
    <x:row r="171" ht="34" customHeight="1">
      <x:c r="A171" s="74" t="str">
        <x:v>Garage Door Pros - Trenton</x:v>
      </x:c>
      <x:c r="B171" s="74" t="str">
        <x:v>1600 Kingsway Ct Unit 101-E, Trenton, MI 48183</x:v>
      </x:c>
      <x:c r="C171" s="74" t="str">
        <x:v>Trenton</x:v>
      </x:c>
      <x:c r="D171" s="74" t="str">
        <x:v>734-499-0899</x:v>
      </x:c>
      <x:c r="E171" s="74" t="str"/>
      <x:c r="F171" s="74" t="str">
        <x:v>Install + Service/Repair</x:v>
      </x:c>
      <x:c r="G171" s="76" t="n">
        <x:v>5</x:v>
      </x:c>
      <x:c r="H171" s="78" t="n">
        <x:v>491</x:v>
      </x:c>
      <x:c r="I171" s="74" t="str">
        <x:v>Port Huron / St. Clair-Macomb</x:v>
      </x:c>
      <x:c r="J171" s="74" t="str">
        <x:v>Current Business Index</x:v>
      </x:c>
      <x:c r="K171" s="74" t="str">
        <x:v>High</x:v>
      </x:c>
      <x:c r="L171" s="80" t="str">
        <x:v>https://www.google.com/maps/search/?api=1&amp;query=Garage+Door+Pros+-+Trenton+1600+Kingsway+Ct+Unit+101-E%2C+Trenton%2C+MI+48183+Michigan</x:v>
      </x:c>
      <x:c r="M171" s="80" t="str"/>
      <x:c r="N171" s="74" t="str">
        <x:v>Current 2026 business-index result explicitly describes repair and installation capability.</x:v>
      </x:c>
    </x:row>
    <x:row r="172" ht="34" customHeight="1">
      <x:c r="A172" s="74" t="str">
        <x:v>The Garage Door Guy</x:v>
      </x:c>
      <x:c r="B172" s="74" t="str">
        <x:v>Gudith Rd, Trenton, MI 48183</x:v>
      </x:c>
      <x:c r="C172" s="74" t="str">
        <x:v>Trenton</x:v>
      </x:c>
      <x:c r="D172" s="74" t="str">
        <x:v>734-672-1764</x:v>
      </x:c>
      <x:c r="E172" s="74" t="str"/>
      <x:c r="F172" s="74" t="str">
        <x:v>Install + Service/Repair</x:v>
      </x:c>
      <x:c r="G172" s="76" t="n">
        <x:v>4.9</x:v>
      </x:c>
      <x:c r="H172" s="78" t="n">
        <x:v>881</x:v>
      </x:c>
      <x:c r="I172" s="74" t="str">
        <x:v>Detroit / Southeast Michigan</x:v>
      </x:c>
      <x:c r="J172" s="74" t="str">
        <x:v>Current Business Index</x:v>
      </x:c>
      <x:c r="K172" s="74" t="str">
        <x:v>High</x:v>
      </x:c>
      <x:c r="L172" s="80" t="str">
        <x:v>https://www.google.com/maps/search/?api=1&amp;query=The+Garage+Door+Guy+Gudith+Rd%2C+Trenton%2C+MI+48183+Michigan</x:v>
      </x:c>
      <x:c r="M172" s="80" t="str"/>
      <x:c r="N172" s="74" t="str">
        <x:v>Current 2026 business-index result explicitly describes repair and installation capability.</x:v>
      </x:c>
    </x:row>
    <x:row r="173" ht="34" customHeight="1">
      <x:c r="A173" s="74" t="str">
        <x:v>M&amp;M Garage Doors</x:v>
      </x:c>
      <x:c r="B173" s="74" t="str">
        <x:v>1358 Rankin St, Troy, MI 48083</x:v>
      </x:c>
      <x:c r="C173" s="74" t="str">
        <x:v>Troy</x:v>
      </x:c>
      <x:c r="D173" s="74" t="str">
        <x:v>248-457-5733</x:v>
      </x:c>
      <x:c r="E173" s="74" t="str"/>
      <x:c r="F173" s="74" t="str">
        <x:v>Install + Service/Repair</x:v>
      </x:c>
      <x:c r="G173" s="76" t="n">
        <x:v>5</x:v>
      </x:c>
      <x:c r="H173" s="78" t="n">
        <x:v>375</x:v>
      </x:c>
      <x:c r="I173" s="74" t="str">
        <x:v>Detroit / Southeast Michigan</x:v>
      </x:c>
      <x:c r="J173" s="74" t="str">
        <x:v>Current Business Index</x:v>
      </x:c>
      <x:c r="K173" s="74" t="str">
        <x:v>High</x:v>
      </x:c>
      <x:c r="L173" s="80" t="str">
        <x:v>https://www.google.com/maps/search/?api=1&amp;query=M%26M+Garage+Doors+1358+Rankin+St%2C+Troy%2C+MI+48083+Michigan</x:v>
      </x:c>
      <x:c r="M173" s="80" t="str"/>
      <x:c r="N173" s="74" t="str">
        <x:v>Current 2026 business-index result explicitly describes repair and installation capability.</x:v>
      </x:c>
    </x:row>
    <x:row r="174" ht="34" customHeight="1">
      <x:c r="A174" s="74" t="str">
        <x:v>Garage Doors and More LLC</x:v>
      </x:c>
      <x:c r="B174" s="74" t="str"/>
      <x:c r="C174" s="74" t="str">
        <x:v>Vicksburg</x:v>
      </x:c>
      <x:c r="D174" s="74" t="str">
        <x:v>269-207-3448</x:v>
      </x:c>
      <x:c r="E174" s="74" t="str"/>
      <x:c r="F174" s="74" t="str">
        <x:v>Install + Service/Repair</x:v>
      </x:c>
      <x:c r="G174" s="76" t="n">
        <x:v>4.8</x:v>
      </x:c>
      <x:c r="H174" s="78" t="n">
        <x:v>23</x:v>
      </x:c>
      <x:c r="I174" s="74" t="str">
        <x:v>Kalamazoo / Southwest Michigan</x:v>
      </x:c>
      <x:c r="J174" s="74" t="str">
        <x:v>Current Business Index</x:v>
      </x:c>
      <x:c r="K174" s="74" t="str">
        <x:v>High</x:v>
      </x:c>
      <x:c r="L174" s="80" t="str">
        <x:v>https://www.google.com/maps/search/?api=1&amp;query=Garage+Doors+and+More+LLC+Vicksburg+Michigan</x:v>
      </x:c>
      <x:c r="M174" s="80" t="str"/>
      <x:c r="N174" s="74" t="str">
        <x:v>Current 2026 business-index result explicitly describes repair and installation capability.</x:v>
      </x:c>
    </x:row>
    <x:row r="175" ht="34" customHeight="1">
      <x:c r="A175" s="74" t="str">
        <x:v>OVERHEAD DOOR &amp; FIREPLACE</x:v>
      </x:c>
      <x:c r="B175" s="74" t="str">
        <x:v>4680 Hatchery Road, Waterford, MI 48329-3633</x:v>
      </x:c>
      <x:c r="C175" s="74" t="str">
        <x:v>Waterford</x:v>
      </x:c>
      <x:c r="D175" s="74" t="str">
        <x:v>877-831-9504</x:v>
      </x:c>
      <x:c r="E175" s="74" t="str"/>
      <x:c r="F175" s="74" t="str">
        <x:v>Install + Service/Repair</x:v>
      </x:c>
      <x:c r="G175" s="76"/>
      <x:c r="H175" s="78"/>
      <x:c r="I175" s="74" t="str">
        <x:v>Statewide / Clopay</x:v>
      </x:c>
      <x:c r="J175" s="74" t="str">
        <x:v>Clopay Authorized Dealer</x:v>
      </x:c>
      <x:c r="K175" s="74" t="str">
        <x:v>High</x:v>
      </x:c>
      <x:c r="L175" s="80" t="str">
        <x:v>https://www.clopaydoor.com/dealers/michigan/-page-2-</x:v>
      </x:c>
      <x:c r="M175" s="80" t="str"/>
      <x:c r="N175" s="74" t="str">
        <x:v>Clopay states its Michigan dealers provide new-door installation, time-sensitive repairs and preventive maintenance.</x:v>
      </x:c>
    </x:row>
    <x:row r="176" ht="34" customHeight="1">
      <x:c r="A176" s="74" t="str">
        <x:v>Overhead Door West</x:v>
      </x:c>
      <x:c r="B176" s="74" t="str">
        <x:v>4680 Hatchery Road, Waterford, MI 48329</x:v>
      </x:c>
      <x:c r="C176" s="74" t="str">
        <x:v>Waterford</x:v>
      </x:c>
      <x:c r="D176" s="74" t="str">
        <x:v>888-278-8402</x:v>
      </x:c>
      <x:c r="E176" s="74" t="str"/>
      <x:c r="F176" s="74" t="str">
        <x:v>Install + Service/Repair</x:v>
      </x:c>
      <x:c r="G176" s="76"/>
      <x:c r="H176" s="78"/>
      <x:c r="I176" s="74" t="str">
        <x:v>Statewide / Clopay</x:v>
      </x:c>
      <x:c r="J176" s="74" t="str">
        <x:v>Clopay Authorized Dealer</x:v>
      </x:c>
      <x:c r="K176" s="74" t="str">
        <x:v>High</x:v>
      </x:c>
      <x:c r="L176" s="80" t="str">
        <x:v>https://www.clopaydoor.com/dealers/michigan/-page-2-</x:v>
      </x:c>
      <x:c r="M176" s="80" t="str"/>
      <x:c r="N176" s="74" t="str">
        <x:v>Clopay states its Michigan dealers provide new-door installation, time-sensitive repairs and preventive maintenance.</x:v>
      </x:c>
    </x:row>
    <x:row r="177" ht="34" customHeight="1">
      <x:c r="A177" s="74" t="str">
        <x:v>Blitz Garage Door Repair</x:v>
      </x:c>
      <x:c r="B177" s="74" t="str"/>
      <x:c r="C177" s="74" t="str">
        <x:v>West Bloomfield</x:v>
      </x:c>
      <x:c r="D177" s="74" t="str">
        <x:v>888-422-3152</x:v>
      </x:c>
      <x:c r="E177" s="74" t="str"/>
      <x:c r="F177" s="74" t="str">
        <x:v>Install + Service/Repair</x:v>
      </x:c>
      <x:c r="G177" s="76" t="n">
        <x:v>5</x:v>
      </x:c>
      <x:c r="H177" s="78" t="n">
        <x:v>2820</x:v>
      </x:c>
      <x:c r="I177" s="74" t="str">
        <x:v>Detroit / Southeast Michigan</x:v>
      </x:c>
      <x:c r="J177" s="74" t="str">
        <x:v>Current Business Index</x:v>
      </x:c>
      <x:c r="K177" s="74" t="str">
        <x:v>High</x:v>
      </x:c>
      <x:c r="L177" s="80" t="str">
        <x:v>https://www.google.com/maps/search/?api=1&amp;query=Blitz+Garage+Door+Repair+West+Bloomfield+Michigan</x:v>
      </x:c>
      <x:c r="M177" s="80" t="str"/>
      <x:c r="N177" s="74" t="str">
        <x:v>Current 2026 business-index result explicitly describes repair and installation capability.</x:v>
      </x:c>
    </x:row>
    <x:row r="178" ht="34" customHeight="1">
      <x:c r="A178" s="74" t="str">
        <x:v>Magic Fix Garage Door Services</x:v>
      </x:c>
      <x:c r="B178" s="74" t="str"/>
      <x:c r="C178" s="74" t="str">
        <x:v>West Bloomfield</x:v>
      </x:c>
      <x:c r="D178" s="74" t="str">
        <x:v>248-422-1337</x:v>
      </x:c>
      <x:c r="E178" s="74" t="str"/>
      <x:c r="F178" s="74" t="str">
        <x:v>Install + Service/Repair</x:v>
      </x:c>
      <x:c r="G178" s="76" t="n">
        <x:v>5</x:v>
      </x:c>
      <x:c r="H178" s="78" t="n">
        <x:v>458</x:v>
      </x:c>
      <x:c r="I178" s="74" t="str">
        <x:v>Detroit / Southeast Michigan</x:v>
      </x:c>
      <x:c r="J178" s="74" t="str">
        <x:v>Current Business Index</x:v>
      </x:c>
      <x:c r="K178" s="74" t="str">
        <x:v>High</x:v>
      </x:c>
      <x:c r="L178" s="80" t="str">
        <x:v>https://www.google.com/maps/search/?api=1&amp;query=Magic+Fix+Garage+Door+Services+West+Bloomfield+Michigan</x:v>
      </x:c>
      <x:c r="M178" s="80" t="str"/>
      <x:c r="N178" s="74" t="str">
        <x:v>Current 2026 business-index result explicitly describes repair and installation capability.</x:v>
      </x:c>
    </x:row>
    <x:row r="179" ht="34" customHeight="1">
      <x:c r="A179" s="74" t="str">
        <x:v>QUALITY GARAGE DOORS</x:v>
      </x:c>
      <x:c r="B179" s="74" t="str">
        <x:v>2510 S M-76, West Branch, MI 48661</x:v>
      </x:c>
      <x:c r="C179" s="74" t="str">
        <x:v>West Branch</x:v>
      </x:c>
      <x:c r="D179" s="74" t="str">
        <x:v>989-345-5633</x:v>
      </x:c>
      <x:c r="E179" s="74" t="str"/>
      <x:c r="F179" s="74" t="str">
        <x:v>Install + Service/Repair</x:v>
      </x:c>
      <x:c r="G179" s="76"/>
      <x:c r="H179" s="78"/>
      <x:c r="I179" s="74" t="str">
        <x:v>Statewide / Clopay</x:v>
      </x:c>
      <x:c r="J179" s="74" t="str">
        <x:v>Clopay Authorized Dealer</x:v>
      </x:c>
      <x:c r="K179" s="74" t="str">
        <x:v>High</x:v>
      </x:c>
      <x:c r="L179" s="80" t="str">
        <x:v>https://www.clopaydoor.com/dealers/michigan/-page-3-</x:v>
      </x:c>
      <x:c r="M179" s="80" t="str"/>
      <x:c r="N179" s="74" t="str">
        <x:v>Clopay states its Michigan dealers provide new-door installation, time-sensitive repairs and preventive maintenance.</x:v>
      </x:c>
    </x:row>
    <x:row r="180" ht="34" customHeight="1">
      <x:c r="A180" s="74" t="str">
        <x:v>Pure Michigan Garage Door LLC</x:v>
      </x:c>
      <x:c r="B180" s="74" t="str">
        <x:v>2892 W 12th St, White Cloud, MI 49349</x:v>
      </x:c>
      <x:c r="C180" s="74" t="str">
        <x:v>White Cloud</x:v>
      </x:c>
      <x:c r="D180" s="74" t="str">
        <x:v>231-250-9451</x:v>
      </x:c>
      <x:c r="E180" s="74" t="str"/>
      <x:c r="F180" s="74" t="str">
        <x:v>Install + Service/Repair</x:v>
      </x:c>
      <x:c r="G180" s="76" t="n">
        <x:v>4.9</x:v>
      </x:c>
      <x:c r="H180" s="78" t="n">
        <x:v>76</x:v>
      </x:c>
      <x:c r="I180" s="74" t="str">
        <x:v>Traverse City / Northern Michigan</x:v>
      </x:c>
      <x:c r="J180" s="74" t="str">
        <x:v>Current Business Index</x:v>
      </x:c>
      <x:c r="K180" s="74" t="str">
        <x:v>High</x:v>
      </x:c>
      <x:c r="L180" s="80" t="str">
        <x:v>https://www.google.com/maps/search/?api=1&amp;query=Pure+Michigan+Garage+Door+LLC+2892+W+12th+St%2C+White+Cloud%2C+MI+49349+Michigan</x:v>
      </x:c>
      <x:c r="M180" s="80" t="str"/>
      <x:c r="N180" s="74" t="str">
        <x:v>Current 2026 business-index result explicitly describes repair and installation capability.</x:v>
      </x:c>
    </x:row>
    <x:row r="181" ht="34" customHeight="1">
      <x:c r="A181" s="74" t="str">
        <x:v>Elevation Garage Door Co</x:v>
      </x:c>
      <x:c r="B181" s="74" t="str"/>
      <x:c r="C181" s="74" t="str">
        <x:v>Wyoming</x:v>
      </x:c>
      <x:c r="D181" s="74" t="str">
        <x:v>616-259-6233</x:v>
      </x:c>
      <x:c r="E181" s="74" t="str"/>
      <x:c r="F181" s="74" t="str">
        <x:v>Install + Service/Repair</x:v>
      </x:c>
      <x:c r="G181" s="76" t="n">
        <x:v>4.9</x:v>
      </x:c>
      <x:c r="H181" s="78" t="n">
        <x:v>66</x:v>
      </x:c>
      <x:c r="I181" s="74" t="str">
        <x:v>Grand Rapids / West Michigan</x:v>
      </x:c>
      <x:c r="J181" s="74" t="str">
        <x:v>Current Business Index</x:v>
      </x:c>
      <x:c r="K181" s="74" t="str">
        <x:v>High</x:v>
      </x:c>
      <x:c r="L181" s="80" t="str">
        <x:v>https://www.google.com/maps/search/?api=1&amp;query=Elevation+Garage+Door+Co+Wyoming+Michigan</x:v>
      </x:c>
      <x:c r="M181" s="80" t="str"/>
      <x:c r="N181" s="74" t="str">
        <x:v>Current 2026 business-index result explicitly describes repair and installation capability.</x:v>
      </x:c>
    </x:row>
    <x:row r="182" ht="34" customHeight="1">
      <x:c r="A182" s="74" t="str">
        <x:v>A and R Garage Doors</x:v>
      </x:c>
      <x:c r="B182" s="74" t="str">
        <x:v>2202 Woodview Dr, Ypsilanti, MI 48198</x:v>
      </x:c>
      <x:c r="C182" s="74" t="str">
        <x:v>Ypsilanti</x:v>
      </x:c>
      <x:c r="D182" s="74" t="str">
        <x:v>734-383-6759</x:v>
      </x:c>
      <x:c r="E182" s="74" t="str"/>
      <x:c r="F182" s="74" t="str">
        <x:v>Install + Service/Repair</x:v>
      </x:c>
      <x:c r="G182" s="76" t="n">
        <x:v>4.9</x:v>
      </x:c>
      <x:c r="H182" s="78" t="n">
        <x:v>83</x:v>
      </x:c>
      <x:c r="I182" s="74" t="str">
        <x:v>Ann Arbor / Livingston</x:v>
      </x:c>
      <x:c r="J182" s="74" t="str">
        <x:v>Current Business Index</x:v>
      </x:c>
      <x:c r="K182" s="74" t="str">
        <x:v>High</x:v>
      </x:c>
      <x:c r="L182" s="80" t="str">
        <x:v>https://www.google.com/maps/search/?api=1&amp;query=A+and+R+Garage+Doors+2202+Woodview+Dr%2C+Ypsilanti%2C+MI+48198+Michigan</x:v>
      </x:c>
      <x:c r="M182" s="80" t="str"/>
      <x:c r="N182" s="74" t="str">
        <x:v>Current 2026 business-index result explicitly describes repair and installation capability.</x:v>
      </x:c>
    </x:row>
    <x:row r="183" ht="34" customHeight="1">
      <x:c r="A183" s="74" t="str">
        <x:v>M&amp;M Garage Doors</x:v>
      </x:c>
      <x:c r="B183" s="74" t="str">
        <x:v>882 Grove Rd STE LR, Ypsilanti, MI 48198</x:v>
      </x:c>
      <x:c r="C183" s="74" t="str">
        <x:v>Ypsilanti</x:v>
      </x:c>
      <x:c r="D183" s="74" t="str">
        <x:v>734-224-2327</x:v>
      </x:c>
      <x:c r="E183" s="74" t="str"/>
      <x:c r="F183" s="74" t="str">
        <x:v>Install + Service/Repair</x:v>
      </x:c>
      <x:c r="G183" s="76" t="n">
        <x:v>4.9</x:v>
      </x:c>
      <x:c r="H183" s="78" t="n">
        <x:v>221</x:v>
      </x:c>
      <x:c r="I183" s="74" t="str">
        <x:v>Ann Arbor / Livingston</x:v>
      </x:c>
      <x:c r="J183" s="74" t="str">
        <x:v>Current Business Index</x:v>
      </x:c>
      <x:c r="K183" s="74" t="str">
        <x:v>High</x:v>
      </x:c>
      <x:c r="L183" s="80" t="str">
        <x:v>https://www.google.com/maps/search/?api=1&amp;query=M%26M+Garage+Doors+882+Grove+Rd+STE+LR%2C+Ypsilanti%2C+MI+48198+Michigan</x:v>
      </x:c>
      <x:c r="M183" s="80" t="str"/>
      <x:c r="N183" s="74" t="str">
        <x:v>Current 2026 business-index result explicitly describes repair and installation capability.</x:v>
      </x:c>
    </x:row>
    <x:row r="184" ht="34" customHeight="1">
      <x:c r="A184" s="74" t="str">
        <x:v>REDWOOD DOOR INC DBA CRAWFORD DOOR SALES</x:v>
      </x:c>
      <x:c r="B184" s="74" t="str">
        <x:v>334 East Michigan Avenue, Ypsilanti, MI 48198-5620</x:v>
      </x:c>
      <x:c r="C184" s="74" t="str">
        <x:v>Ypsilanti</x:v>
      </x:c>
      <x:c r="D184" s="74" t="str">
        <x:v>734-483-4563</x:v>
      </x:c>
      <x:c r="E184" s="74" t="str"/>
      <x:c r="F184" s="74" t="str">
        <x:v>Install + Service/Repair</x:v>
      </x:c>
      <x:c r="G184" s="76"/>
      <x:c r="H184" s="78"/>
      <x:c r="I184" s="74" t="str">
        <x:v>Statewide / Clopay</x:v>
      </x:c>
      <x:c r="J184" s="74" t="str">
        <x:v>Clopay Authorized Dealer</x:v>
      </x:c>
      <x:c r="K184" s="74" t="str">
        <x:v>High</x:v>
      </x:c>
      <x:c r="L184" s="80" t="str">
        <x:v>https://www.clopaydoor.com/dealers/michigan/-page-3-</x:v>
      </x:c>
      <x:c r="M184" s="80" t="str"/>
      <x:c r="N184" s="74" t="str">
        <x:v>Clopay states its Michigan dealers provide new-door installation, time-sensitive repairs and preventive maintenance.</x:v>
      </x:c>
    </x:row>
    <x:row r="185" ht="34" customHeight="1">
      <x:c r="A185" s="74" t="str">
        <x:v>Robs Garage Door - Repair</x:v>
      </x:c>
      <x:c r="B185" s="74" t="str">
        <x:v>240 Kansas Ave, Ypsilanti, MI 48198</x:v>
      </x:c>
      <x:c r="C185" s="74" t="str">
        <x:v>Ypsilanti</x:v>
      </x:c>
      <x:c r="D185" s="74" t="str">
        <x:v>734-301-5959</x:v>
      </x:c>
      <x:c r="E185" s="74" t="str"/>
      <x:c r="F185" s="74" t="str">
        <x:v>Install + Service/Repair</x:v>
      </x:c>
      <x:c r="G185" s="76" t="n">
        <x:v>5</x:v>
      </x:c>
      <x:c r="H185" s="78" t="n">
        <x:v>454</x:v>
      </x:c>
      <x:c r="I185" s="74" t="str">
        <x:v>Ann Arbor / Livingston</x:v>
      </x:c>
      <x:c r="J185" s="74" t="str">
        <x:v>Current Business Index</x:v>
      </x:c>
      <x:c r="K185" s="74" t="str">
        <x:v>High</x:v>
      </x:c>
      <x:c r="L185" s="80" t="str">
        <x:v>https://www.google.com/maps/search/?api=1&amp;query=Robs+Garage+Door+-+Repair+240+Kansas+Ave%2C+Ypsilanti%2C+MI+48198+Michigan</x:v>
      </x:c>
      <x:c r="M185" s="80" t="str"/>
      <x:c r="N185" s="74" t="str">
        <x:v>Current 2026 business-index result explicitly describes repair and installation capability.</x:v>
      </x:c>
    </x:row>
    <x:row r="186" ht="34" customHeight="1">
      <x:c r="A186" s="74" t="str">
        <x:v>M&amp;M Garage Doors</x:v>
      </x:c>
      <x:c r="B186" s="74" t="str">
        <x:v>203 W Main Ave, Zeeland, MI 49464</x:v>
      </x:c>
      <x:c r="C186" s="74" t="str">
        <x:v>Zeeland</x:v>
      </x:c>
      <x:c r="D186" s="74" t="str">
        <x:v>616-210-3122</x:v>
      </x:c>
      <x:c r="E186" s="74" t="str"/>
      <x:c r="F186" s="74" t="str">
        <x:v>Install + Service/Repair</x:v>
      </x:c>
      <x:c r="G186" s="76" t="n">
        <x:v>5</x:v>
      </x:c>
      <x:c r="H186" s="78" t="n">
        <x:v>55</x:v>
      </x:c>
      <x:c r="I186" s="74" t="str">
        <x:v>Muskegon / Lakeshore</x:v>
      </x:c>
      <x:c r="J186" s="74" t="str">
        <x:v>Current Business Index</x:v>
      </x:c>
      <x:c r="K186" s="74" t="str">
        <x:v>High</x:v>
      </x:c>
      <x:c r="L186" s="80" t="str">
        <x:v>https://www.google.com/maps/search/?api=1&amp;query=M%26M+Garage+Doors+203+W+Main+Ave%2C+Zeeland%2C+MI+49464+Michigan</x:v>
      </x:c>
      <x:c r="M186" s="80" t="str"/>
      <x:c r="N186" s="74" t="str">
        <x:v>Current 2026 business-index result explicitly describes repair and installation capability.</x:v>
      </x:c>
    </x:row>
    <x:row r="187" ht="34" customHeight="1">
      <x:c r="A187" s="74" t="str">
        <x:v>Zeeland Garage Door</x:v>
      </x:c>
      <x:c r="B187" s="74" t="str">
        <x:v>7622 Bohl Rd, Zeeland, MI 49464</x:v>
      </x:c>
      <x:c r="C187" s="74" t="str">
        <x:v>Zeeland</x:v>
      </x:c>
      <x:c r="D187" s="74" t="str">
        <x:v>616-218-8364</x:v>
      </x:c>
      <x:c r="E187" s="74" t="str"/>
      <x:c r="F187" s="74" t="str">
        <x:v>Install + Service/Repair</x:v>
      </x:c>
      <x:c r="G187" s="76" t="n">
        <x:v>4.7</x:v>
      </x:c>
      <x:c r="H187" s="78" t="n">
        <x:v>13</x:v>
      </x:c>
      <x:c r="I187" s="74" t="str">
        <x:v>Muskegon / Lakeshore</x:v>
      </x:c>
      <x:c r="J187" s="74" t="str">
        <x:v>Current Business Index</x:v>
      </x:c>
      <x:c r="K187" s="74" t="str">
        <x:v>High</x:v>
      </x:c>
      <x:c r="L187" s="80" t="str">
        <x:v>https://www.google.com/maps/search/?api=1&amp;query=Zeeland+Garage+Door+7622+Bohl+Rd%2C+Zeeland%2C+MI+49464+Michigan</x:v>
      </x:c>
      <x:c r="M187" s="80" t="str"/>
      <x:c r="N187" s="74" t="str">
        <x:v>Current 2026 business-index result explicitly describes repair and installation capability.</x:v>
      </x:c>
    </x:row>
  </x:sheetData>
  <x:conditionalFormatting sqref="G2:G187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H2:H187">
    <x:cfRule type="dataBar" priority="2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{974CFCF8-4620-53D0-33F5-CBC500D6BA93}</x14:id>
        </x:ext>
      </x:extLst>
    </x:cfRule>
  </x:conditionalFormatting>
  <x:conditionalFormatting sqref="K2:K187">
    <x:cfRule type="expression" dxfId="0" priority="3">
      <x:formula>K2="High"</x:formula>
    </x:cfRule>
    <x:cfRule type="expression" dxfId="1" priority="4">
      <x:formula>K2="Medium"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4fb9cf2dd03499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974CFCF8-4620-53D0-33F5-CBC500D6BA93}">
            <x14:dataBar gradient="1">
              <x14:cfvo type="min"/>
              <x14:cfvo type="max"/>
              <x14:fillColor rgb="FF2563EB"/>
            </x14:dataBar>
          </x14:cfRule>
          <xm:sqref>H2:H187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3" hidden="0" customWidth="1"/>
    <x:col min="3" max="3" width="18" hidden="0" customWidth="1"/>
    <x:col min="4" max="4" width="48" hidden="0" customWidth="1"/>
  </x:cols>
  <x:sheetData>
    <x:row r="1">
      <x:c r="A1" s="16" t="str">
        <x:v>City / Area</x:v>
      </x:c>
      <x:c r="B1" s="16" t="str">
        <x:v>Supplier Location Listings</x:v>
      </x:c>
      <x:c r="C1" s="16" t="str">
        <x:v>% of Statewide</x:v>
      </x:c>
      <x:c r="D1" s="16" t="str">
        <x:v>Source URL</x:v>
      </x:c>
    </x:row>
    <x:row r="2" ht="21" customHeight="1">
      <x:c r="A2" t="str">
        <x:v>Detroit</x:v>
      </x:c>
      <x:c r="B2" t="n">
        <x:v>223</x:v>
      </x:c>
      <x:c r="C2" s="50" t="n">
        <x:f>B2/$B$101</x:f>
        <x:v>0.4137291280148423</x:v>
      </x:c>
      <x:c r="D2" s="87" t="str">
        <x:v>https://rentechdigital.com/smartscraper/business-report-details/united-states/list-of-garage-door-suppliers-in-michigan</x:v>
      </x:c>
    </x:row>
    <x:row r="3" ht="21" customHeight="1">
      <x:c r="A3" t="str">
        <x:v>Grand Rapids</x:v>
      </x:c>
      <x:c r="B3" t="n">
        <x:v>9</x:v>
      </x:c>
      <x:c r="C3" s="50" t="n">
        <x:f>B3/$B$101</x:f>
        <x:v>0.016697588126159554</x:v>
      </x:c>
      <x:c r="D3" s="87" t="str">
        <x:v>https://rentechdigital.com/smartscraper/business-report-details/united-states/list-of-garage-door-suppliers-in-michigan</x:v>
      </x:c>
    </x:row>
    <x:row r="4" ht="21" customHeight="1">
      <x:c r="A4" t="str">
        <x:v>Wyoming</x:v>
      </x:c>
      <x:c r="B4" t="n">
        <x:v>9</x:v>
      </x:c>
      <x:c r="C4" s="50" t="n">
        <x:f>B4/$B$101</x:f>
        <x:v>0.016697588126159554</x:v>
      </x:c>
      <x:c r="D4" s="87" t="str">
        <x:v>https://rentechdigital.com/smartscraper/business-report-details/united-states/list-of-garage-door-suppliers-in-michigan</x:v>
      </x:c>
    </x:row>
    <x:row r="5" ht="21" customHeight="1">
      <x:c r="A5" t="str">
        <x:v>Ann Arbor</x:v>
      </x:c>
      <x:c r="B5" t="n">
        <x:v>8</x:v>
      </x:c>
      <x:c r="C5" s="50" t="n">
        <x:f>B5/$B$101</x:f>
        <x:v>0.014842300556586271</x:v>
      </x:c>
      <x:c r="D5" s="87" t="str">
        <x:v>https://rentechdigital.com/smartscraper/business-report-details/united-states/list-of-garage-door-suppliers-in-michigan</x:v>
      </x:c>
    </x:row>
    <x:row r="6" ht="21" customHeight="1">
      <x:c r="A6" t="str">
        <x:v>Flint</x:v>
      </x:c>
      <x:c r="B6" t="n">
        <x:v>8</x:v>
      </x:c>
      <x:c r="C6" s="50" t="n">
        <x:f>B6/$B$101</x:f>
        <x:v>0.014842300556586271</x:v>
      </x:c>
      <x:c r="D6" s="87" t="str">
        <x:v>https://rentechdigital.com/smartscraper/business-report-details/united-states/list-of-garage-door-suppliers-in-michigan</x:v>
      </x:c>
    </x:row>
    <x:row r="7" ht="21" customHeight="1">
      <x:c r="A7" t="str">
        <x:v>Lansing</x:v>
      </x:c>
      <x:c r="B7" t="n">
        <x:v>6</x:v>
      </x:c>
      <x:c r="C7" s="50" t="n">
        <x:f>B7/$B$101</x:f>
        <x:v>0.011131725417439703</x:v>
      </x:c>
      <x:c r="D7" s="87" t="str">
        <x:v>https://rentechdigital.com/smartscraper/business-report-details/united-states/list-of-garage-door-suppliers-in-michigan</x:v>
      </x:c>
    </x:row>
    <x:row r="8" ht="21" customHeight="1">
      <x:c r="A8" t="str">
        <x:v>Midland</x:v>
      </x:c>
      <x:c r="B8" t="n">
        <x:v>5</x:v>
      </x:c>
      <x:c r="C8" s="50" t="n">
        <x:f>B8/$B$101</x:f>
        <x:v>0.00927643784786642</x:v>
      </x:c>
      <x:c r="D8" s="87" t="str">
        <x:v>https://rentechdigital.com/smartscraper/business-report-details/united-states/list-of-garage-door-suppliers-in-michigan</x:v>
      </x:c>
    </x:row>
    <x:row r="9" ht="21" customHeight="1">
      <x:c r="A9" t="str">
        <x:v>Portage</x:v>
      </x:c>
      <x:c r="B9" t="n">
        <x:v>5</x:v>
      </x:c>
      <x:c r="C9" s="50" t="n">
        <x:f>B9/$B$101</x:f>
        <x:v>0.00927643784786642</x:v>
      </x:c>
      <x:c r="D9" s="87" t="str">
        <x:v>https://rentechdigital.com/smartscraper/business-report-details/united-states/list-of-garage-door-suppliers-in-michigan</x:v>
      </x:c>
    </x:row>
    <x:row r="10" ht="21" customHeight="1">
      <x:c r="A10" t="str">
        <x:v>Saginaw</x:v>
      </x:c>
      <x:c r="B10" t="n">
        <x:v>5</x:v>
      </x:c>
      <x:c r="C10" s="50" t="n">
        <x:f>B10/$B$101</x:f>
        <x:v>0.00927643784786642</x:v>
      </x:c>
      <x:c r="D10" s="87" t="str">
        <x:v>https://rentechdigital.com/smartscraper/business-report-details/united-states/list-of-garage-door-suppliers-in-michigan</x:v>
      </x:c>
    </x:row>
    <x:row r="11" ht="21" customHeight="1">
      <x:c r="A11" t="str">
        <x:v>Brighton</x:v>
      </x:c>
      <x:c r="B11" t="n">
        <x:v>4</x:v>
      </x:c>
      <x:c r="C11" s="50" t="n">
        <x:f>B11/$B$101</x:f>
        <x:v>0.0074211502782931356</x:v>
      </x:c>
      <x:c r="D11" s="87" t="str">
        <x:v>https://rentechdigital.com/smartscraper/business-report-details/united-states/list-of-garage-door-suppliers-in-michigan</x:v>
      </x:c>
    </x:row>
    <x:row r="12" ht="21" customHeight="1">
      <x:c r="A12" t="str">
        <x:v>Jackson</x:v>
      </x:c>
      <x:c r="B12" t="n">
        <x:v>4</x:v>
      </x:c>
      <x:c r="C12" s="50" t="n">
        <x:f>B12/$B$101</x:f>
        <x:v>0.0074211502782931356</x:v>
      </x:c>
      <x:c r="D12" s="87" t="str">
        <x:v>https://rentechdigital.com/smartscraper/business-report-details/united-states/list-of-garage-door-suppliers-in-michigan</x:v>
      </x:c>
    </x:row>
    <x:row r="13" ht="21" customHeight="1">
      <x:c r="A13" t="str">
        <x:v>Kentwood</x:v>
      </x:c>
      <x:c r="B13" t="n">
        <x:v>4</x:v>
      </x:c>
      <x:c r="C13" s="50" t="n">
        <x:f>B13/$B$101</x:f>
        <x:v>0.0074211502782931356</x:v>
      </x:c>
      <x:c r="D13" s="87" t="str">
        <x:v>https://rentechdigital.com/smartscraper/business-report-details/united-states/list-of-garage-door-suppliers-in-michigan</x:v>
      </x:c>
    </x:row>
    <x:row r="14" ht="21" customHeight="1">
      <x:c r="A14" t="str">
        <x:v>Owosso</x:v>
      </x:c>
      <x:c r="B14" t="n">
        <x:v>4</x:v>
      </x:c>
      <x:c r="C14" s="50" t="n">
        <x:f>B14/$B$101</x:f>
        <x:v>0.0074211502782931356</x:v>
      </x:c>
      <x:c r="D14" s="87" t="str">
        <x:v>https://rentechdigital.com/smartscraper/business-report-details/united-states/list-of-garage-door-suppliers-in-michigan</x:v>
      </x:c>
    </x:row>
    <x:row r="15" ht="21" customHeight="1">
      <x:c r="A15" t="str">
        <x:v>Ypsilanti</x:v>
      </x:c>
      <x:c r="B15" t="n">
        <x:v>4</x:v>
      </x:c>
      <x:c r="C15" s="50" t="n">
        <x:f>B15/$B$101</x:f>
        <x:v>0.0074211502782931356</x:v>
      </x:c>
      <x:c r="D15" s="87" t="str">
        <x:v>https://rentechdigital.com/smartscraper/business-report-details/united-states/list-of-garage-door-suppliers-in-michigan</x:v>
      </x:c>
    </x:row>
    <x:row r="16" ht="21" customHeight="1">
      <x:c r="A16" t="str">
        <x:v>Alpena</x:v>
      </x:c>
      <x:c r="B16" t="n">
        <x:v>3</x:v>
      </x:c>
      <x:c r="C16" s="50" t="n">
        <x:f>B16/$B$101</x:f>
        <x:v>0.0055658627087198514</x:v>
      </x:c>
      <x:c r="D16" s="87" t="str">
        <x:v>https://rentechdigital.com/smartscraper/business-report-details/united-states/list-of-garage-door-suppliers-in-michigan</x:v>
      </x:c>
    </x:row>
    <x:row r="17" ht="21" customHeight="1">
      <x:c r="A17" t="str">
        <x:v>Battle Creek</x:v>
      </x:c>
      <x:c r="B17" t="n">
        <x:v>3</x:v>
      </x:c>
      <x:c r="C17" s="50" t="n">
        <x:f>B17/$B$101</x:f>
        <x:v>0.0055658627087198514</x:v>
      </x:c>
      <x:c r="D17" s="87" t="str">
        <x:v>https://rentechdigital.com/smartscraper/business-report-details/united-states/list-of-garage-door-suppliers-in-michigan</x:v>
      </x:c>
    </x:row>
    <x:row r="18" ht="21" customHeight="1">
      <x:c r="A18" t="str">
        <x:v>Birch Run</x:v>
      </x:c>
      <x:c r="B18" t="n">
        <x:v>3</x:v>
      </x:c>
      <x:c r="C18" s="50" t="n">
        <x:f>B18/$B$101</x:f>
        <x:v>0.0055658627087198514</x:v>
      </x:c>
      <x:c r="D18" s="87" t="str">
        <x:v>https://rentechdigital.com/smartscraper/business-report-details/united-states/list-of-garage-door-suppliers-in-michigan</x:v>
      </x:c>
    </x:row>
    <x:row r="19" ht="21" customHeight="1">
      <x:c r="A19" t="str">
        <x:v>Fenton</x:v>
      </x:c>
      <x:c r="B19" t="n">
        <x:v>3</x:v>
      </x:c>
      <x:c r="C19" s="50" t="n">
        <x:f>B19/$B$101</x:f>
        <x:v>0.0055658627087198514</x:v>
      </x:c>
      <x:c r="D19" s="87" t="str">
        <x:v>https://rentechdigital.com/smartscraper/business-report-details/united-states/list-of-garage-door-suppliers-in-michigan</x:v>
      </x:c>
    </x:row>
    <x:row r="20" ht="21" customHeight="1">
      <x:c r="A20" t="str">
        <x:v>Houghton Lake</x:v>
      </x:c>
      <x:c r="B20" t="n">
        <x:v>3</x:v>
      </x:c>
      <x:c r="C20" s="50" t="n">
        <x:f>B20/$B$101</x:f>
        <x:v>0.0055658627087198514</x:v>
      </x:c>
      <x:c r="D20" s="87" t="str">
        <x:v>https://rentechdigital.com/smartscraper/business-report-details/united-states/list-of-garage-door-suppliers-in-michigan</x:v>
      </x:c>
    </x:row>
    <x:row r="21" ht="21" customHeight="1">
      <x:c r="A21" t="str">
        <x:v>Lapeer</x:v>
      </x:c>
      <x:c r="B21" t="n">
        <x:v>3</x:v>
      </x:c>
      <x:c r="C21" s="50" t="n">
        <x:f>B21/$B$101</x:f>
        <x:v>0.0055658627087198514</x:v>
      </x:c>
      <x:c r="D21" s="87" t="str">
        <x:v>https://rentechdigital.com/smartscraper/business-report-details/united-states/list-of-garage-door-suppliers-in-michigan</x:v>
      </x:c>
    </x:row>
    <x:row r="22" ht="21" customHeight="1">
      <x:c r="A22" t="str">
        <x:v>Muskegon</x:v>
      </x:c>
      <x:c r="B22" t="n">
        <x:v>3</x:v>
      </x:c>
      <x:c r="C22" s="50" t="n">
        <x:f>B22/$B$101</x:f>
        <x:v>0.0055658627087198514</x:v>
      </x:c>
      <x:c r="D22" s="87" t="str">
        <x:v>https://rentechdigital.com/smartscraper/business-report-details/united-states/list-of-garage-door-suppliers-in-michigan</x:v>
      </x:c>
    </x:row>
    <x:row r="23" ht="21" customHeight="1">
      <x:c r="A23" t="str">
        <x:v>Three Rivers</x:v>
      </x:c>
      <x:c r="B23" t="n">
        <x:v>3</x:v>
      </x:c>
      <x:c r="C23" s="50" t="n">
        <x:f>B23/$B$101</x:f>
        <x:v>0.0055658627087198514</x:v>
      </x:c>
      <x:c r="D23" s="87" t="str">
        <x:v>https://rentechdigital.com/smartscraper/business-report-details/united-states/list-of-garage-door-suppliers-in-michigan</x:v>
      </x:c>
    </x:row>
    <x:row r="24" ht="21" customHeight="1">
      <x:c r="A24" t="str">
        <x:v>Walker</x:v>
      </x:c>
      <x:c r="B24" t="n">
        <x:v>3</x:v>
      </x:c>
      <x:c r="C24" s="50" t="n">
        <x:f>B24/$B$101</x:f>
        <x:v>0.0055658627087198514</x:v>
      </x:c>
      <x:c r="D24" s="87" t="str">
        <x:v>https://rentechdigital.com/smartscraper/business-report-details/united-states/list-of-garage-door-suppliers-in-michigan</x:v>
      </x:c>
    </x:row>
    <x:row r="25" ht="21" customHeight="1">
      <x:c r="A25" t="str">
        <x:v>West Branch</x:v>
      </x:c>
      <x:c r="B25" t="n">
        <x:v>3</x:v>
      </x:c>
      <x:c r="C25" s="50" t="n">
        <x:f>B25/$B$101</x:f>
        <x:v>0.0055658627087198514</x:v>
      </x:c>
      <x:c r="D25" s="87" t="str">
        <x:v>https://rentechdigital.com/smartscraper/business-report-details/united-states/list-of-garage-door-suppliers-in-michigan</x:v>
      </x:c>
    </x:row>
    <x:row r="26" ht="21" customHeight="1">
      <x:c r="A26" t="str">
        <x:v>Zeeland</x:v>
      </x:c>
      <x:c r="B26" t="n">
        <x:v>3</x:v>
      </x:c>
      <x:c r="C26" s="50" t="n">
        <x:f>B26/$B$101</x:f>
        <x:v>0.0055658627087198514</x:v>
      </x:c>
      <x:c r="D26" s="87" t="str">
        <x:v>https://rentechdigital.com/smartscraper/business-report-details/united-states/list-of-garage-door-suppliers-in-michigan</x:v>
      </x:c>
    </x:row>
    <x:row r="27" ht="21" customHeight="1">
      <x:c r="A27" t="str">
        <x:v>Adrian</x:v>
      </x:c>
      <x:c r="B27" t="n">
        <x:v>2</x:v>
      </x:c>
      <x:c r="C27" s="50" t="n">
        <x:f>B27/$B$101</x:f>
        <x:v>0.0037105751391465678</x:v>
      </x:c>
      <x:c r="D27" s="87" t="str">
        <x:v>https://rentechdigital.com/smartscraper/business-report-details/united-states/list-of-garage-door-suppliers-in-michigan</x:v>
      </x:c>
    </x:row>
    <x:row r="28" ht="21" customHeight="1">
      <x:c r="A28" t="str">
        <x:v>Bay City</x:v>
      </x:c>
      <x:c r="B28" t="n">
        <x:v>2</x:v>
      </x:c>
      <x:c r="C28" s="50" t="n">
        <x:f>B28/$B$101</x:f>
        <x:v>0.0037105751391465678</x:v>
      </x:c>
      <x:c r="D28" s="87" t="str">
        <x:v>https://rentechdigital.com/smartscraper/business-report-details/united-states/list-of-garage-door-suppliers-in-michigan</x:v>
      </x:c>
    </x:row>
    <x:row r="29" ht="21" customHeight="1">
      <x:c r="A29" t="str">
        <x:v>Boyne City</x:v>
      </x:c>
      <x:c r="B29" t="n">
        <x:v>2</x:v>
      </x:c>
      <x:c r="C29" s="50" t="n">
        <x:f>B29/$B$101</x:f>
        <x:v>0.0037105751391465678</x:v>
      </x:c>
      <x:c r="D29" s="87" t="str">
        <x:v>https://rentechdigital.com/smartscraper/business-report-details/united-states/list-of-garage-door-suppliers-in-michigan</x:v>
      </x:c>
    </x:row>
    <x:row r="30" ht="21" customHeight="1">
      <x:c r="A30" t="str">
        <x:v>DeWitt</x:v>
      </x:c>
      <x:c r="B30" t="n">
        <x:v>2</x:v>
      </x:c>
      <x:c r="C30" s="50" t="n">
        <x:f>B30/$B$101</x:f>
        <x:v>0.0037105751391465678</x:v>
      </x:c>
      <x:c r="D30" s="87" t="str">
        <x:v>https://rentechdigital.com/smartscraper/business-report-details/united-states/list-of-garage-door-suppliers-in-michigan</x:v>
      </x:c>
    </x:row>
    <x:row r="31" ht="21" customHeight="1">
      <x:c r="A31" t="str">
        <x:v>Gaylord</x:v>
      </x:c>
      <x:c r="B31" t="n">
        <x:v>2</x:v>
      </x:c>
      <x:c r="C31" s="50" t="n">
        <x:f>B31/$B$101</x:f>
        <x:v>0.0037105751391465678</x:v>
      </x:c>
      <x:c r="D31" s="87" t="str">
        <x:v>https://rentechdigital.com/smartscraper/business-report-details/united-states/list-of-garage-door-suppliers-in-michigan</x:v>
      </x:c>
    </x:row>
    <x:row r="32" ht="21" customHeight="1">
      <x:c r="A32" t="str">
        <x:v>Gladwin</x:v>
      </x:c>
      <x:c r="B32" t="n">
        <x:v>2</x:v>
      </x:c>
      <x:c r="C32" s="50" t="n">
        <x:f>B32/$B$101</x:f>
        <x:v>0.0037105751391465678</x:v>
      </x:c>
      <x:c r="D32" s="87" t="str">
        <x:v>https://rentechdigital.com/smartscraper/business-report-details/united-states/list-of-garage-door-suppliers-in-michigan</x:v>
      </x:c>
    </x:row>
    <x:row r="33" ht="21" customHeight="1">
      <x:c r="A33" t="str">
        <x:v>Grand Blanc</x:v>
      </x:c>
      <x:c r="B33" t="n">
        <x:v>2</x:v>
      </x:c>
      <x:c r="C33" s="50" t="n">
        <x:f>B33/$B$101</x:f>
        <x:v>0.0037105751391465678</x:v>
      </x:c>
      <x:c r="D33" s="87" t="str">
        <x:v>https://rentechdigital.com/smartscraper/business-report-details/united-states/list-of-garage-door-suppliers-in-michigan</x:v>
      </x:c>
    </x:row>
    <x:row r="34" ht="21" customHeight="1">
      <x:c r="A34" t="str">
        <x:v>Grand Ledge</x:v>
      </x:c>
      <x:c r="B34" t="n">
        <x:v>2</x:v>
      </x:c>
      <x:c r="C34" s="50" t="n">
        <x:f>B34/$B$101</x:f>
        <x:v>0.0037105751391465678</x:v>
      </x:c>
      <x:c r="D34" s="87" t="str">
        <x:v>https://rentechdigital.com/smartscraper/business-report-details/united-states/list-of-garage-door-suppliers-in-michigan</x:v>
      </x:c>
    </x:row>
    <x:row r="35" ht="21" customHeight="1">
      <x:c r="A35" t="str">
        <x:v>Holland</x:v>
      </x:c>
      <x:c r="B35" t="n">
        <x:v>2</x:v>
      </x:c>
      <x:c r="C35" s="50" t="n">
        <x:f>B35/$B$101</x:f>
        <x:v>0.0037105751391465678</x:v>
      </x:c>
      <x:c r="D35" s="87" t="str">
        <x:v>https://rentechdigital.com/smartscraper/business-report-details/united-states/list-of-garage-door-suppliers-in-michigan</x:v>
      </x:c>
    </x:row>
    <x:row r="36" ht="21" customHeight="1">
      <x:c r="A36" t="str">
        <x:v>Hudsonville</x:v>
      </x:c>
      <x:c r="B36" t="n">
        <x:v>2</x:v>
      </x:c>
      <x:c r="C36" s="50" t="n">
        <x:f>B36/$B$101</x:f>
        <x:v>0.0037105751391465678</x:v>
      </x:c>
      <x:c r="D36" s="87" t="str">
        <x:v>https://rentechdigital.com/smartscraper/business-report-details/united-states/list-of-garage-door-suppliers-in-michigan</x:v>
      </x:c>
    </x:row>
    <x:row r="37" ht="21" customHeight="1">
      <x:c r="A37" t="str">
        <x:v>Jonesville</x:v>
      </x:c>
      <x:c r="B37" t="n">
        <x:v>2</x:v>
      </x:c>
      <x:c r="C37" s="50" t="n">
        <x:f>B37/$B$101</x:f>
        <x:v>0.0037105751391465678</x:v>
      </x:c>
      <x:c r="D37" s="87" t="str">
        <x:v>https://rentechdigital.com/smartscraper/business-report-details/united-states/list-of-garage-door-suppliers-in-michigan</x:v>
      </x:c>
    </x:row>
    <x:row r="38" ht="21" customHeight="1">
      <x:c r="A38" t="str">
        <x:v>Marquette</x:v>
      </x:c>
      <x:c r="B38" t="n">
        <x:v>2</x:v>
      </x:c>
      <x:c r="C38" s="50" t="n">
        <x:f>B38/$B$101</x:f>
        <x:v>0.0037105751391465678</x:v>
      </x:c>
      <x:c r="D38" s="87" t="str">
        <x:v>https://rentechdigital.com/smartscraper/business-report-details/united-states/list-of-garage-door-suppliers-in-michigan</x:v>
      </x:c>
    </x:row>
    <x:row r="39" ht="21" customHeight="1">
      <x:c r="A39" t="str">
        <x:v>Marshall</x:v>
      </x:c>
      <x:c r="B39" t="n">
        <x:v>2</x:v>
      </x:c>
      <x:c r="C39" s="50" t="n">
        <x:f>B39/$B$101</x:f>
        <x:v>0.0037105751391465678</x:v>
      </x:c>
      <x:c r="D39" s="87" t="str">
        <x:v>https://rentechdigital.com/smartscraper/business-report-details/united-states/list-of-garage-door-suppliers-in-michigan</x:v>
      </x:c>
    </x:row>
    <x:row r="40" ht="21" customHeight="1">
      <x:c r="A40" t="str">
        <x:v>Norton Shores</x:v>
      </x:c>
      <x:c r="B40" t="n">
        <x:v>2</x:v>
      </x:c>
      <x:c r="C40" s="50" t="n">
        <x:f>B40/$B$101</x:f>
        <x:v>0.0037105751391465678</x:v>
      </x:c>
      <x:c r="D40" s="87" t="str">
        <x:v>https://rentechdigital.com/smartscraper/business-report-details/united-states/list-of-garage-door-suppliers-in-michigan</x:v>
      </x:c>
    </x:row>
    <x:row r="41" ht="21" customHeight="1">
      <x:c r="A41" t="str">
        <x:v>Otsego</x:v>
      </x:c>
      <x:c r="B41" t="n">
        <x:v>2</x:v>
      </x:c>
      <x:c r="C41" s="50" t="n">
        <x:f>B41/$B$101</x:f>
        <x:v>0.0037105751391465678</x:v>
      </x:c>
      <x:c r="D41" s="87" t="str">
        <x:v>https://rentechdigital.com/smartscraper/business-report-details/united-states/list-of-garage-door-suppliers-in-michigan</x:v>
      </x:c>
    </x:row>
    <x:row r="42" ht="21" customHeight="1">
      <x:c r="A42" t="str">
        <x:v>Prudenville</x:v>
      </x:c>
      <x:c r="B42" t="n">
        <x:v>2</x:v>
      </x:c>
      <x:c r="C42" s="50" t="n">
        <x:f>B42/$B$101</x:f>
        <x:v>0.0037105751391465678</x:v>
      </x:c>
      <x:c r="D42" s="87" t="str">
        <x:v>https://rentechdigital.com/smartscraper/business-report-details/united-states/list-of-garage-door-suppliers-in-michigan</x:v>
      </x:c>
    </x:row>
    <x:row r="43" ht="21" customHeight="1">
      <x:c r="A43" t="str">
        <x:v>Saint Johns</x:v>
      </x:c>
      <x:c r="B43" t="n">
        <x:v>2</x:v>
      </x:c>
      <x:c r="C43" s="50" t="n">
        <x:f>B43/$B$101</x:f>
        <x:v>0.0037105751391465678</x:v>
      </x:c>
      <x:c r="D43" s="87" t="str">
        <x:v>https://rentechdigital.com/smartscraper/business-report-details/united-states/list-of-garage-door-suppliers-in-michigan</x:v>
      </x:c>
    </x:row>
    <x:row r="44" ht="21" customHeight="1">
      <x:c r="A44" t="str">
        <x:v>Saint Joseph</x:v>
      </x:c>
      <x:c r="B44" t="n">
        <x:v>2</x:v>
      </x:c>
      <x:c r="C44" s="50" t="n">
        <x:f>B44/$B$101</x:f>
        <x:v>0.0037105751391465678</x:v>
      </x:c>
      <x:c r="D44" s="87" t="str">
        <x:v>https://rentechdigital.com/smartscraper/business-report-details/united-states/list-of-garage-door-suppliers-in-michigan</x:v>
      </x:c>
    </x:row>
    <x:row r="45" ht="21" customHeight="1">
      <x:c r="A45" t="str">
        <x:v>Shields</x:v>
      </x:c>
      <x:c r="B45" t="n">
        <x:v>2</x:v>
      </x:c>
      <x:c r="C45" s="50" t="n">
        <x:f>B45/$B$101</x:f>
        <x:v>0.0037105751391465678</x:v>
      </x:c>
      <x:c r="D45" s="87" t="str">
        <x:v>https://rentechdigital.com/smartscraper/business-report-details/united-states/list-of-garage-door-suppliers-in-michigan</x:v>
      </x:c>
    </x:row>
    <x:row r="46" ht="21" customHeight="1">
      <x:c r="A46" t="str">
        <x:v>Tecumseh</x:v>
      </x:c>
      <x:c r="B46" t="n">
        <x:v>2</x:v>
      </x:c>
      <x:c r="C46" s="50" t="n">
        <x:f>B46/$B$101</x:f>
        <x:v>0.0037105751391465678</x:v>
      </x:c>
      <x:c r="D46" s="87" t="str">
        <x:v>https://rentechdigital.com/smartscraper/business-report-details/united-states/list-of-garage-door-suppliers-in-michigan</x:v>
      </x:c>
    </x:row>
    <x:row r="47" ht="21" customHeight="1">
      <x:c r="A47" t="str">
        <x:v>Vassar</x:v>
      </x:c>
      <x:c r="B47" t="n">
        <x:v>2</x:v>
      </x:c>
      <x:c r="C47" s="50" t="n">
        <x:f>B47/$B$101</x:f>
        <x:v>0.0037105751391465678</x:v>
      </x:c>
      <x:c r="D47" s="87" t="str">
        <x:v>https://rentechdigital.com/smartscraper/business-report-details/united-states/list-of-garage-door-suppliers-in-michigan</x:v>
      </x:c>
    </x:row>
    <x:row r="48" ht="21" customHeight="1">
      <x:c r="A48" t="str">
        <x:v>Wacousta</x:v>
      </x:c>
      <x:c r="B48" t="n">
        <x:v>2</x:v>
      </x:c>
      <x:c r="C48" s="50" t="n">
        <x:f>B48/$B$101</x:f>
        <x:v>0.0037105751391465678</x:v>
      </x:c>
      <x:c r="D48" s="87" t="str">
        <x:v>https://rentechdigital.com/smartscraper/business-report-details/united-states/list-of-garage-door-suppliers-in-michigan</x:v>
      </x:c>
    </x:row>
    <x:row r="49" ht="21" customHeight="1">
      <x:c r="A49" t="str">
        <x:v>Allegan</x:v>
      </x:c>
      <x:c r="B49" t="n">
        <x:v>1</x:v>
      </x:c>
      <x:c r="C49" s="50" t="n">
        <x:f>B49/$B$101</x:f>
        <x:v>0.0018552875695732839</x:v>
      </x:c>
      <x:c r="D49" s="87" t="str">
        <x:v>https://rentechdigital.com/smartscraper/business-report-details/united-states/list-of-garage-door-suppliers-in-michigan</x:v>
      </x:c>
    </x:row>
    <x:row r="50" ht="21" customHeight="1">
      <x:c r="A50" t="str">
        <x:v>Allendale</x:v>
      </x:c>
      <x:c r="B50" t="n">
        <x:v>1</x:v>
      </x:c>
      <x:c r="C50" s="50" t="n">
        <x:f>B50/$B$101</x:f>
        <x:v>0.0018552875695732839</x:v>
      </x:c>
      <x:c r="D50" s="87" t="str">
        <x:v>https://rentechdigital.com/smartscraper/business-report-details/united-states/list-of-garage-door-suppliers-in-michigan</x:v>
      </x:c>
    </x:row>
    <x:row r="51" ht="21" customHeight="1">
      <x:c r="A51" t="str">
        <x:v>Almont</x:v>
      </x:c>
      <x:c r="B51" t="n">
        <x:v>1</x:v>
      </x:c>
      <x:c r="C51" s="50" t="n">
        <x:f>B51/$B$101</x:f>
        <x:v>0.0018552875695732839</x:v>
      </x:c>
      <x:c r="D51" s="87" t="str">
        <x:v>https://rentechdigital.com/smartscraper/business-report-details/united-states/list-of-garage-door-suppliers-in-michigan</x:v>
      </x:c>
    </x:row>
    <x:row r="52" ht="21" customHeight="1">
      <x:c r="A52" t="str">
        <x:v>Bad Axe</x:v>
      </x:c>
      <x:c r="B52" t="n">
        <x:v>1</x:v>
      </x:c>
      <x:c r="C52" s="50" t="n">
        <x:f>B52/$B$101</x:f>
        <x:v>0.0018552875695732839</x:v>
      </x:c>
      <x:c r="D52" s="87" t="str">
        <x:v>https://rentechdigital.com/smartscraper/business-report-details/united-states/list-of-garage-door-suppliers-in-michigan</x:v>
      </x:c>
    </x:row>
    <x:row r="53" ht="21" customHeight="1">
      <x:c r="A53" t="str">
        <x:v>Bath</x:v>
      </x:c>
      <x:c r="B53" t="n">
        <x:v>1</x:v>
      </x:c>
      <x:c r="C53" s="50" t="n">
        <x:f>B53/$B$101</x:f>
        <x:v>0.0018552875695732839</x:v>
      </x:c>
      <x:c r="D53" s="87" t="str">
        <x:v>https://rentechdigital.com/smartscraper/business-report-details/united-states/list-of-garage-door-suppliers-in-michigan</x:v>
      </x:c>
    </x:row>
    <x:row r="54" ht="21" customHeight="1">
      <x:c r="A54" t="str">
        <x:v>Benton Harbor</x:v>
      </x:c>
      <x:c r="B54" t="n">
        <x:v>1</x:v>
      </x:c>
      <x:c r="C54" s="50" t="n">
        <x:f>B54/$B$101</x:f>
        <x:v>0.0018552875695732839</x:v>
      </x:c>
      <x:c r="D54" s="87" t="str">
        <x:v>https://rentechdigital.com/smartscraper/business-report-details/united-states/list-of-garage-door-suppliers-in-michigan</x:v>
      </x:c>
    </x:row>
    <x:row r="55" ht="21" customHeight="1">
      <x:c r="A55" t="str">
        <x:v>Buena Vista</x:v>
      </x:c>
      <x:c r="B55" t="n">
        <x:v>1</x:v>
      </x:c>
      <x:c r="C55" s="50" t="n">
        <x:f>B55/$B$101</x:f>
        <x:v>0.0018552875695732839</x:v>
      </x:c>
      <x:c r="D55" s="87" t="str">
        <x:v>https://rentechdigital.com/smartscraper/business-report-details/united-states/list-of-garage-door-suppliers-in-michigan</x:v>
      </x:c>
    </x:row>
    <x:row r="56" ht="21" customHeight="1">
      <x:c r="A56" t="str">
        <x:v>Burton</x:v>
      </x:c>
      <x:c r="B56" t="n">
        <x:v>1</x:v>
      </x:c>
      <x:c r="C56" s="50" t="n">
        <x:f>B56/$B$101</x:f>
        <x:v>0.0018552875695732839</x:v>
      </x:c>
      <x:c r="D56" s="87" t="str">
        <x:v>https://rentechdigital.com/smartscraper/business-report-details/united-states/list-of-garage-door-suppliers-in-michigan</x:v>
      </x:c>
    </x:row>
    <x:row r="57" ht="21" customHeight="1">
      <x:c r="A57" t="str">
        <x:v>Cadillac</x:v>
      </x:c>
      <x:c r="B57" t="n">
        <x:v>1</x:v>
      </x:c>
      <x:c r="C57" s="50" t="n">
        <x:f>B57/$B$101</x:f>
        <x:v>0.0018552875695732839</x:v>
      </x:c>
      <x:c r="D57" s="87" t="str">
        <x:v>https://rentechdigital.com/smartscraper/business-report-details/united-states/list-of-garage-door-suppliers-in-michigan</x:v>
      </x:c>
    </x:row>
    <x:row r="58" ht="21" customHeight="1">
      <x:c r="A58" t="str">
        <x:v>Caledonia</x:v>
      </x:c>
      <x:c r="B58" t="n">
        <x:v>1</x:v>
      </x:c>
      <x:c r="C58" s="50" t="n">
        <x:f>B58/$B$101</x:f>
        <x:v>0.0018552875695732839</x:v>
      </x:c>
      <x:c r="D58" s="87" t="str">
        <x:v>https://rentechdigital.com/smartscraper/business-report-details/united-states/list-of-garage-door-suppliers-in-michigan</x:v>
      </x:c>
    </x:row>
    <x:row r="59" ht="21" customHeight="1">
      <x:c r="A59" t="str">
        <x:v>Coldwater</x:v>
      </x:c>
      <x:c r="B59" t="n">
        <x:v>1</x:v>
      </x:c>
      <x:c r="C59" s="50" t="n">
        <x:f>B59/$B$101</x:f>
        <x:v>0.0018552875695732839</x:v>
      </x:c>
      <x:c r="D59" s="87" t="str">
        <x:v>https://rentechdigital.com/smartscraper/business-report-details/united-states/list-of-garage-door-suppliers-in-michigan</x:v>
      </x:c>
    </x:row>
    <x:row r="60" ht="21" customHeight="1">
      <x:c r="A60" t="str">
        <x:v>Coleman</x:v>
      </x:c>
      <x:c r="B60" t="n">
        <x:v>1</x:v>
      </x:c>
      <x:c r="C60" s="50" t="n">
        <x:f>B60/$B$101</x:f>
        <x:v>0.0018552875695732839</x:v>
      </x:c>
      <x:c r="D60" s="87" t="str">
        <x:v>https://rentechdigital.com/smartscraper/business-report-details/united-states/list-of-garage-door-suppliers-in-michigan</x:v>
      </x:c>
    </x:row>
    <x:row r="61" ht="21" customHeight="1">
      <x:c r="A61" t="str">
        <x:v>Comstock Park</x:v>
      </x:c>
      <x:c r="B61" t="n">
        <x:v>1</x:v>
      </x:c>
      <x:c r="C61" s="50" t="n">
        <x:f>B61/$B$101</x:f>
        <x:v>0.0018552875695732839</x:v>
      </x:c>
      <x:c r="D61" s="87" t="str">
        <x:v>https://rentechdigital.com/smartscraper/business-report-details/united-states/list-of-garage-door-suppliers-in-michigan</x:v>
      </x:c>
    </x:row>
    <x:row r="62" ht="21" customHeight="1">
      <x:c r="A62" t="str">
        <x:v>Corunna</x:v>
      </x:c>
      <x:c r="B62" t="n">
        <x:v>1</x:v>
      </x:c>
      <x:c r="C62" s="50" t="n">
        <x:f>B62/$B$101</x:f>
        <x:v>0.0018552875695732839</x:v>
      </x:c>
      <x:c r="D62" s="87" t="str">
        <x:v>https://rentechdigital.com/smartscraper/business-report-details/united-states/list-of-garage-door-suppliers-in-michigan</x:v>
      </x:c>
    </x:row>
    <x:row r="63" ht="21" customHeight="1">
      <x:c r="A63" t="str">
        <x:v>Crystal Falls</x:v>
      </x:c>
      <x:c r="B63" t="n">
        <x:v>1</x:v>
      </x:c>
      <x:c r="C63" s="50" t="n">
        <x:f>B63/$B$101</x:f>
        <x:v>0.0018552875695732839</x:v>
      </x:c>
      <x:c r="D63" s="87" t="str">
        <x:v>https://rentechdigital.com/smartscraper/business-report-details/united-states/list-of-garage-door-suppliers-in-michigan</x:v>
      </x:c>
    </x:row>
    <x:row r="64" ht="21" customHeight="1">
      <x:c r="A64" t="str">
        <x:v>Cutlerville</x:v>
      </x:c>
      <x:c r="B64" t="n">
        <x:v>1</x:v>
      </x:c>
      <x:c r="C64" s="50" t="n">
        <x:f>B64/$B$101</x:f>
        <x:v>0.0018552875695732839</x:v>
      </x:c>
      <x:c r="D64" s="87" t="str">
        <x:v>https://rentechdigital.com/smartscraper/business-report-details/united-states/list-of-garage-door-suppliers-in-michigan</x:v>
      </x:c>
    </x:row>
    <x:row r="65" ht="21" customHeight="1">
      <x:c r="A65" t="str">
        <x:v>Dowagiac</x:v>
      </x:c>
      <x:c r="B65" t="n">
        <x:v>1</x:v>
      </x:c>
      <x:c r="C65" s="50" t="n">
        <x:f>B65/$B$101</x:f>
        <x:v>0.0018552875695732839</x:v>
      </x:c>
      <x:c r="D65" s="87" t="str">
        <x:v>https://rentechdigital.com/smartscraper/business-report-details/united-states/list-of-garage-door-suppliers-in-michigan</x:v>
      </x:c>
    </x:row>
    <x:row r="66" ht="21" customHeight="1">
      <x:c r="A66" t="str">
        <x:v>Durand</x:v>
      </x:c>
      <x:c r="B66" t="n">
        <x:v>1</x:v>
      </x:c>
      <x:c r="C66" s="50" t="n">
        <x:f>B66/$B$101</x:f>
        <x:v>0.0018552875695732839</x:v>
      </x:c>
      <x:c r="D66" s="87" t="str">
        <x:v>https://rentechdigital.com/smartscraper/business-report-details/united-states/list-of-garage-door-suppliers-in-michigan</x:v>
      </x:c>
    </x:row>
    <x:row r="67" ht="21" customHeight="1">
      <x:c r="A67" t="str">
        <x:v>East Jordan</x:v>
      </x:c>
      <x:c r="B67" t="n">
        <x:v>1</x:v>
      </x:c>
      <x:c r="C67" s="50" t="n">
        <x:f>B67/$B$101</x:f>
        <x:v>0.0018552875695732839</x:v>
      </x:c>
      <x:c r="D67" s="87" t="str">
        <x:v>https://rentechdigital.com/smartscraper/business-report-details/united-states/list-of-garage-door-suppliers-in-michigan</x:v>
      </x:c>
    </x:row>
    <x:row r="68" ht="21" customHeight="1">
      <x:c r="A68" t="str">
        <x:v>Eaton Rapids</x:v>
      </x:c>
      <x:c r="B68" t="n">
        <x:v>1</x:v>
      </x:c>
      <x:c r="C68" s="50" t="n">
        <x:f>B68/$B$101</x:f>
        <x:v>0.0018552875695732839</x:v>
      </x:c>
      <x:c r="D68" s="87" t="str">
        <x:v>https://rentechdigital.com/smartscraper/business-report-details/united-states/list-of-garage-door-suppliers-in-michigan</x:v>
      </x:c>
    </x:row>
    <x:row r="69" ht="21" customHeight="1">
      <x:c r="A69" t="str">
        <x:v>Escanaba</x:v>
      </x:c>
      <x:c r="B69" t="n">
        <x:v>1</x:v>
      </x:c>
      <x:c r="C69" s="50" t="n">
        <x:f>B69/$B$101</x:f>
        <x:v>0.0018552875695732839</x:v>
      </x:c>
      <x:c r="D69" s="87" t="str">
        <x:v>https://rentechdigital.com/smartscraper/business-report-details/united-states/list-of-garage-door-suppliers-in-michigan</x:v>
      </x:c>
    </x:row>
    <x:row r="70" ht="21" customHeight="1">
      <x:c r="A70" t="str">
        <x:v>Fair Plain</x:v>
      </x:c>
      <x:c r="B70" t="n">
        <x:v>1</x:v>
      </x:c>
      <x:c r="C70" s="50" t="n">
        <x:f>B70/$B$101</x:f>
        <x:v>0.0018552875695732839</x:v>
      </x:c>
      <x:c r="D70" s="87" t="str">
        <x:v>https://rentechdigital.com/smartscraper/business-report-details/united-states/list-of-garage-door-suppliers-in-michigan</x:v>
      </x:c>
    </x:row>
    <x:row r="71" ht="21" customHeight="1">
      <x:c r="A71" t="str">
        <x:v>Fowler</x:v>
      </x:c>
      <x:c r="B71" t="n">
        <x:v>1</x:v>
      </x:c>
      <x:c r="C71" s="50" t="n">
        <x:f>B71/$B$101</x:f>
        <x:v>0.0018552875695732839</x:v>
      </x:c>
      <x:c r="D71" s="87" t="str">
        <x:v>https://rentechdigital.com/smartscraper/business-report-details/united-states/list-of-garage-door-suppliers-in-michigan</x:v>
      </x:c>
    </x:row>
    <x:row r="72" ht="21" customHeight="1">
      <x:c r="A72" t="str">
        <x:v>Fruitport</x:v>
      </x:c>
      <x:c r="B72" t="n">
        <x:v>1</x:v>
      </x:c>
      <x:c r="C72" s="50" t="n">
        <x:f>B72/$B$101</x:f>
        <x:v>0.0018552875695732839</x:v>
      </x:c>
      <x:c r="D72" s="87" t="str">
        <x:v>https://rentechdigital.com/smartscraper/business-report-details/united-states/list-of-garage-door-suppliers-in-michigan</x:v>
      </x:c>
    </x:row>
    <x:row r="73" ht="21" customHeight="1">
      <x:c r="A73" t="str">
        <x:v>Grand Haven</x:v>
      </x:c>
      <x:c r="B73" t="n">
        <x:v>1</x:v>
      </x:c>
      <x:c r="C73" s="50" t="n">
        <x:f>B73/$B$101</x:f>
        <x:v>0.0018552875695732839</x:v>
      </x:c>
      <x:c r="D73" s="87" t="str">
        <x:v>https://rentechdigital.com/smartscraper/business-report-details/united-states/list-of-garage-door-suppliers-in-michigan</x:v>
      </x:c>
    </x:row>
    <x:row r="74" ht="21" customHeight="1">
      <x:c r="A74" t="str">
        <x:v>Grayling</x:v>
      </x:c>
      <x:c r="B74" t="n">
        <x:v>1</x:v>
      </x:c>
      <x:c r="C74" s="50" t="n">
        <x:f>B74/$B$101</x:f>
        <x:v>0.0018552875695732839</x:v>
      </x:c>
      <x:c r="D74" s="87" t="str">
        <x:v>https://rentechdigital.com/smartscraper/business-report-details/united-states/list-of-garage-door-suppliers-in-michigan</x:v>
      </x:c>
    </x:row>
    <x:row r="75" ht="21" customHeight="1">
      <x:c r="A75" t="str">
        <x:v>Grosse Pointe Shores</x:v>
      </x:c>
      <x:c r="B75" t="n">
        <x:v>1</x:v>
      </x:c>
      <x:c r="C75" s="50" t="n">
        <x:f>B75/$B$101</x:f>
        <x:v>0.0018552875695732839</x:v>
      </x:c>
      <x:c r="D75" s="87" t="str">
        <x:v>https://rentechdigital.com/smartscraper/business-report-details/united-states/list-of-garage-door-suppliers-in-michigan</x:v>
      </x:c>
    </x:row>
    <x:row r="76" ht="21" customHeight="1">
      <x:c r="A76" t="str">
        <x:v>Hartford</x:v>
      </x:c>
      <x:c r="B76" t="n">
        <x:v>1</x:v>
      </x:c>
      <x:c r="C76" s="50" t="n">
        <x:f>B76/$B$101</x:f>
        <x:v>0.0018552875695732839</x:v>
      </x:c>
      <x:c r="D76" s="87" t="str">
        <x:v>https://rentechdigital.com/smartscraper/business-report-details/united-states/list-of-garage-door-suppliers-in-michigan</x:v>
      </x:c>
    </x:row>
    <x:row r="77" ht="21" customHeight="1">
      <x:c r="A77" t="str">
        <x:v>Hastings</x:v>
      </x:c>
      <x:c r="B77" t="n">
        <x:v>1</x:v>
      </x:c>
      <x:c r="C77" s="50" t="n">
        <x:f>B77/$B$101</x:f>
        <x:v>0.0018552875695732839</x:v>
      </x:c>
      <x:c r="D77" s="87" t="str">
        <x:v>https://rentechdigital.com/smartscraper/business-report-details/united-states/list-of-garage-door-suppliers-in-michigan</x:v>
      </x:c>
    </x:row>
    <x:row r="78" ht="21" customHeight="1">
      <x:c r="A78" t="str">
        <x:v>Hemlock</x:v>
      </x:c>
      <x:c r="B78" t="n">
        <x:v>1</x:v>
      </x:c>
      <x:c r="C78" s="50" t="n">
        <x:f>B78/$B$101</x:f>
        <x:v>0.0018552875695732839</x:v>
      </x:c>
      <x:c r="D78" s="87" t="str">
        <x:v>https://rentechdigital.com/smartscraper/business-report-details/united-states/list-of-garage-door-suppliers-in-michigan</x:v>
      </x:c>
    </x:row>
    <x:row r="79" ht="21" customHeight="1">
      <x:c r="A79" t="str">
        <x:v>Homer</x:v>
      </x:c>
      <x:c r="B79" t="n">
        <x:v>1</x:v>
      </x:c>
      <x:c r="C79" s="50" t="n">
        <x:f>B79/$B$101</x:f>
        <x:v>0.0018552875695732839</x:v>
      </x:c>
      <x:c r="D79" s="87" t="str">
        <x:v>https://rentechdigital.com/smartscraper/business-report-details/united-states/list-of-garage-door-suppliers-in-michigan</x:v>
      </x:c>
    </x:row>
    <x:row r="80" ht="21" customHeight="1">
      <x:c r="A80" t="str">
        <x:v>Howell</x:v>
      </x:c>
      <x:c r="B80" t="n">
        <x:v>1</x:v>
      </x:c>
      <x:c r="C80" s="50" t="n">
        <x:f>B80/$B$101</x:f>
        <x:v>0.0018552875695732839</x:v>
      </x:c>
      <x:c r="D80" s="87" t="str">
        <x:v>https://rentechdigital.com/smartscraper/business-report-details/united-states/list-of-garage-door-suppliers-in-michigan</x:v>
      </x:c>
    </x:row>
    <x:row r="81" ht="21" customHeight="1">
      <x:c r="A81" t="str">
        <x:v>Iron Mountain</x:v>
      </x:c>
      <x:c r="B81" t="n">
        <x:v>1</x:v>
      </x:c>
      <x:c r="C81" s="50" t="n">
        <x:f>B81/$B$101</x:f>
        <x:v>0.0018552875695732839</x:v>
      </x:c>
      <x:c r="D81" s="87" t="str">
        <x:v>https://rentechdigital.com/smartscraper/business-report-details/united-states/list-of-garage-door-suppliers-in-michigan</x:v>
      </x:c>
    </x:row>
    <x:row r="82" ht="21" customHeight="1">
      <x:c r="A82" t="str">
        <x:v>Level Park-Oak Park</x:v>
      </x:c>
      <x:c r="B82" t="n">
        <x:v>1</x:v>
      </x:c>
      <x:c r="C82" s="50" t="n">
        <x:f>B82/$B$101</x:f>
        <x:v>0.0018552875695732839</x:v>
      </x:c>
      <x:c r="D82" s="87" t="str">
        <x:v>https://rentechdigital.com/smartscraper/business-report-details/united-states/list-of-garage-door-suppliers-in-michigan</x:v>
      </x:c>
    </x:row>
    <x:row r="83" ht="21" customHeight="1">
      <x:c r="A83" t="str">
        <x:v>Monroe</x:v>
      </x:c>
      <x:c r="B83" t="n">
        <x:v>1</x:v>
      </x:c>
      <x:c r="C83" s="50" t="n">
        <x:f>B83/$B$101</x:f>
        <x:v>0.0018552875695732839</x:v>
      </x:c>
      <x:c r="D83" s="87" t="str">
        <x:v>https://rentechdigital.com/smartscraper/business-report-details/united-states/list-of-garage-door-suppliers-in-michigan</x:v>
      </x:c>
    </x:row>
    <x:row r="84" ht="21" customHeight="1">
      <x:c r="A84" t="str">
        <x:v>Morenci</x:v>
      </x:c>
      <x:c r="B84" t="n">
        <x:v>1</x:v>
      </x:c>
      <x:c r="C84" s="50" t="n">
        <x:f>B84/$B$101</x:f>
        <x:v>0.0018552875695732839</x:v>
      </x:c>
      <x:c r="D84" s="87" t="str">
        <x:v>https://rentechdigital.com/smartscraper/business-report-details/united-states/list-of-garage-door-suppliers-in-michigan</x:v>
      </x:c>
    </x:row>
    <x:row r="85" ht="21" customHeight="1">
      <x:c r="A85" t="str">
        <x:v>Mount Morris</x:v>
      </x:c>
      <x:c r="B85" t="n">
        <x:v>1</x:v>
      </x:c>
      <x:c r="C85" s="50" t="n">
        <x:f>B85/$B$101</x:f>
        <x:v>0.0018552875695732839</x:v>
      </x:c>
      <x:c r="D85" s="87" t="str">
        <x:v>https://rentechdigital.com/smartscraper/business-report-details/united-states/list-of-garage-door-suppliers-in-michigan</x:v>
      </x:c>
    </x:row>
    <x:row r="86" ht="21" customHeight="1">
      <x:c r="A86" t="str">
        <x:v>Mount Pleasant</x:v>
      </x:c>
      <x:c r="B86" t="n">
        <x:v>1</x:v>
      </x:c>
      <x:c r="C86" s="50" t="n">
        <x:f>B86/$B$101</x:f>
        <x:v>0.0018552875695732839</x:v>
      </x:c>
      <x:c r="D86" s="87" t="str">
        <x:v>https://rentechdigital.com/smartscraper/business-report-details/united-states/list-of-garage-door-suppliers-in-michigan</x:v>
      </x:c>
    </x:row>
    <x:row r="87" ht="21" customHeight="1">
      <x:c r="A87" t="str">
        <x:v>Negaunee</x:v>
      </x:c>
      <x:c r="B87" t="n">
        <x:v>1</x:v>
      </x:c>
      <x:c r="C87" s="50" t="n">
        <x:f>B87/$B$101</x:f>
        <x:v>0.0018552875695732839</x:v>
      </x:c>
      <x:c r="D87" s="87" t="str">
        <x:v>https://rentechdigital.com/smartscraper/business-report-details/united-states/list-of-garage-door-suppliers-in-michigan</x:v>
      </x:c>
    </x:row>
    <x:row r="88" ht="21" customHeight="1">
      <x:c r="A88" t="str">
        <x:v>Niles</x:v>
      </x:c>
      <x:c r="B88" t="n">
        <x:v>1</x:v>
      </x:c>
      <x:c r="C88" s="50" t="n">
        <x:f>B88/$B$101</x:f>
        <x:v>0.0018552875695732839</x:v>
      </x:c>
      <x:c r="D88" s="87" t="str">
        <x:v>https://rentechdigital.com/smartscraper/business-report-details/united-states/list-of-garage-door-suppliers-in-michigan</x:v>
      </x:c>
    </x:row>
    <x:row r="89" ht="21" customHeight="1">
      <x:c r="A89" t="str">
        <x:v>Okemos</x:v>
      </x:c>
      <x:c r="B89" t="n">
        <x:v>1</x:v>
      </x:c>
      <x:c r="C89" s="50" t="n">
        <x:f>B89/$B$101</x:f>
        <x:v>0.0018552875695732839</x:v>
      </x:c>
      <x:c r="D89" s="87" t="str">
        <x:v>https://rentechdigital.com/smartscraper/business-report-details/united-states/list-of-garage-door-suppliers-in-michigan</x:v>
      </x:c>
    </x:row>
    <x:row r="90" ht="21" customHeight="1">
      <x:c r="A90" t="str">
        <x:v>Oxford</x:v>
      </x:c>
      <x:c r="B90" t="n">
        <x:v>1</x:v>
      </x:c>
      <x:c r="C90" s="50" t="n">
        <x:f>B90/$B$101</x:f>
        <x:v>0.0018552875695732839</x:v>
      </x:c>
      <x:c r="D90" s="87" t="str">
        <x:v>https://rentechdigital.com/smartscraper/business-report-details/united-states/list-of-garage-door-suppliers-in-michigan</x:v>
      </x:c>
    </x:row>
    <x:row r="91" ht="21" customHeight="1">
      <x:c r="A91" t="str">
        <x:v>Paw Paw</x:v>
      </x:c>
      <x:c r="B91" t="n">
        <x:v>1</x:v>
      </x:c>
      <x:c r="C91" s="50" t="n">
        <x:f>B91/$B$101</x:f>
        <x:v>0.0018552875695732839</x:v>
      </x:c>
      <x:c r="D91" s="87" t="str">
        <x:v>https://rentechdigital.com/smartscraper/business-report-details/united-states/list-of-garage-door-suppliers-in-michigan</x:v>
      </x:c>
    </x:row>
    <x:row r="92" ht="21" customHeight="1">
      <x:c r="A92" t="str">
        <x:v>Pinckney</x:v>
      </x:c>
      <x:c r="B92" t="n">
        <x:v>1</x:v>
      </x:c>
      <x:c r="C92" s="50" t="n">
        <x:f>B92/$B$101</x:f>
        <x:v>0.0018552875695732839</x:v>
      </x:c>
      <x:c r="D92" s="87" t="str">
        <x:v>https://rentechdigital.com/smartscraper/business-report-details/united-states/list-of-garage-door-suppliers-in-michigan</x:v>
      </x:c>
    </x:row>
    <x:row r="93" ht="21" customHeight="1">
      <x:c r="A93" t="str">
        <x:v>Port Huron</x:v>
      </x:c>
      <x:c r="B93" t="n">
        <x:v>1</x:v>
      </x:c>
      <x:c r="C93" s="50" t="n">
        <x:f>B93/$B$101</x:f>
        <x:v>0.0018552875695732839</x:v>
      </x:c>
      <x:c r="D93" s="87" t="str">
        <x:v>https://rentechdigital.com/smartscraper/business-report-details/united-states/list-of-garage-door-suppliers-in-michigan</x:v>
      </x:c>
    </x:row>
    <x:row r="94" ht="21" customHeight="1">
      <x:c r="A94" t="str">
        <x:v>Richmond</x:v>
      </x:c>
      <x:c r="B94" t="n">
        <x:v>1</x:v>
      </x:c>
      <x:c r="C94" s="50" t="n">
        <x:f>B94/$B$101</x:f>
        <x:v>0.0018552875695732839</x:v>
      </x:c>
      <x:c r="D94" s="87" t="str">
        <x:v>https://rentechdigital.com/smartscraper/business-report-details/united-states/list-of-garage-door-suppliers-in-michigan</x:v>
      </x:c>
    </x:row>
    <x:row r="95" ht="21" customHeight="1">
      <x:c r="A95" t="str">
        <x:v>South Lyon</x:v>
      </x:c>
      <x:c r="B95" t="n">
        <x:v>1</x:v>
      </x:c>
      <x:c r="C95" s="50" t="n">
        <x:f>B95/$B$101</x:f>
        <x:v>0.0018552875695732839</x:v>
      </x:c>
      <x:c r="D95" s="87" t="str">
        <x:v>https://rentechdigital.com/smartscraper/business-report-details/united-states/list-of-garage-door-suppliers-in-michigan</x:v>
      </x:c>
    </x:row>
    <x:row r="96" ht="21" customHeight="1">
      <x:c r="A96" t="str">
        <x:v>Spring Lake</x:v>
      </x:c>
      <x:c r="B96" t="n">
        <x:v>1</x:v>
      </x:c>
      <x:c r="C96" s="50" t="n">
        <x:f>B96/$B$101</x:f>
        <x:v>0.0018552875695732839</x:v>
      </x:c>
      <x:c r="D96" s="87" t="str">
        <x:v>https://rentechdigital.com/smartscraper/business-report-details/united-states/list-of-garage-door-suppliers-in-michigan</x:v>
      </x:c>
    </x:row>
    <x:row r="97" ht="21" customHeight="1">
      <x:c r="A97" t="str">
        <x:v>Stanton</x:v>
      </x:c>
      <x:c r="B97" t="n">
        <x:v>1</x:v>
      </x:c>
      <x:c r="C97" s="50" t="n">
        <x:f>B97/$B$101</x:f>
        <x:v>0.0018552875695732839</x:v>
      </x:c>
      <x:c r="D97" s="87" t="str">
        <x:v>https://rentechdigital.com/smartscraper/business-report-details/united-states/list-of-garage-door-suppliers-in-michigan</x:v>
      </x:c>
    </x:row>
    <x:row r="98" ht="21" customHeight="1">
      <x:c r="A98" t="str">
        <x:v>Sturgis</x:v>
      </x:c>
      <x:c r="B98" t="n">
        <x:v>1</x:v>
      </x:c>
      <x:c r="C98" s="50" t="n">
        <x:f>B98/$B$101</x:f>
        <x:v>0.0018552875695732839</x:v>
      </x:c>
      <x:c r="D98" s="87" t="str">
        <x:v>https://rentechdigital.com/smartscraper/business-report-details/united-states/list-of-garage-door-suppliers-in-michigan</x:v>
      </x:c>
    </x:row>
    <x:row r="99" ht="21" customHeight="1">
      <x:c r="A99" t="str">
        <x:v>Traverse City</x:v>
      </x:c>
      <x:c r="B99" t="n">
        <x:v>1</x:v>
      </x:c>
      <x:c r="C99" s="50" t="n">
        <x:f>B99/$B$101</x:f>
        <x:v>0.0018552875695732839</x:v>
      </x:c>
      <x:c r="D99" s="87" t="str">
        <x:v>https://rentechdigital.com/smartscraper/business-report-details/united-states/list-of-garage-door-suppliers-in-michigan</x:v>
      </x:c>
    </x:row>
    <x:row r="100" ht="21" customHeight="1">
      <x:c r="A100" t="str">
        <x:v>Unassigned / not city-tagged</x:v>
      </x:c>
      <x:c r="B100" t="n">
        <x:v>113</x:v>
      </x:c>
      <x:c r="C100" s="50" t="n">
        <x:f>B100/$B$101</x:f>
        <x:v>0.20964749536178107</x:v>
      </x:c>
      <x:c r="D100" s="87" t="str">
        <x:v>https://rentechdigital.com/smartscraper/business-report-details/united-states/list-of-garage-door-suppliers-in-michigan</x:v>
      </x:c>
    </x:row>
    <x:row r="101" ht="21" customHeight="1">
      <x:c r="A101" s="82" t="str">
        <x:v>TOTAL</x:v>
      </x:c>
      <x:c r="B101" s="82" t="n">
        <x:f>SUM(B2:B100)</x:f>
        <x:v>539</x:v>
      </x:c>
      <x:c r="C101" s="84" t="n">
        <x:f>SUM(C2:C100)</x:f>
        <x:v>1.0000000000000004</x:v>
      </x:c>
      <x:c r="D101" s="82"/>
    </x:row>
  </x:sheetData>
  <x:pageMargins left="0.7" right="0.7" top="0.75" bottom="0.75" header="0.3" footer="0.3"/>
  <x:tableParts count="1">
    <x:tablePart xmlns:r="http://schemas.openxmlformats.org/officeDocument/2006/relationships" r:id="Re31094384e074c6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0" hidden="0" customWidth="1"/>
    <x:col min="3" max="3" width="16" hidden="0" customWidth="1"/>
    <x:col min="4" max="4" width="38" hidden="0" customWidth="1"/>
    <x:col min="5" max="5" width="36" hidden="0" customWidth="1"/>
    <x:col min="6" max="6" width="48" hidden="0" customWidth="1"/>
    <x:col min="7" max="7" width="50" hidden="0" customWidth="1"/>
    <x:col min="8" max="8" width="48" hidden="0" customWidth="1"/>
  </x:cols>
  <x:sheetData>
    <x:row r="1" ht="28" customHeight="1">
      <x:c r="A1" s="91" t="str">
        <x:v>Methodology, Definitions &amp; Sources</x:v>
      </x:c>
      <x:c r="B1" s="91"/>
      <x:c r="C1" s="91"/>
      <x:c r="D1" s="91"/>
      <x:c r="E1" s="91"/>
      <x:c r="F1" s="91"/>
      <x:c r="G1" s="91"/>
      <x:c r="H1" s="91"/>
    </x:row>
    <x:row r="2" ht="28" customHeight="1">
      <x:c r="A2" s="91"/>
      <x:c r="B2" s="91"/>
      <x:c r="C2" s="91"/>
      <x:c r="D2" s="91"/>
      <x:c r="E2" s="91"/>
      <x:c r="F2" s="91"/>
      <x:c r="G2" s="91"/>
      <x:c r="H2" s="91"/>
    </x:row>
    <x:row r="4" ht="44" customHeight="1">
      <x:c r="A4" s="55" t="str">
        <x:v>Source</x:v>
      </x:c>
      <x:c r="B4" s="55" t="str">
        <x:v>Snapshot / date</x:v>
      </x:c>
      <x:c r="C4" s="55" t="str">
        <x:v>Statewide figure</x:v>
      </x:c>
      <x:c r="D4" s="55" t="str">
        <x:v>How it was used</x:v>
      </x:c>
      <x:c r="E4" s="55" t="str">
        <x:v>Strength</x:v>
      </x:c>
      <x:c r="F4" s="55" t="str">
        <x:v>Limitation</x:v>
      </x:c>
      <x:c r="G4" s="55" t="str">
        <x:v>URL</x:v>
      </x:c>
      <x:c r="H4" s="55" t="str">
        <x:v>Notes</x:v>
      </x:c>
    </x:row>
    <x:row r="5" ht="44" customHeight="1">
      <x:c r="A5" s="98" t="str">
        <x:v>Rentech / SmartScrapers</x:v>
      </x:c>
      <x:c r="B5" s="98" t="str">
        <x:v>Apr. 1, 2026</x:v>
      </x:c>
      <x:c r="C5" s="99" t="n">
        <x:v>539</x:v>
      </x:c>
      <x:c r="D5" s="98" t="str">
        <x:v>Primary broad statewide market-size benchmark and city/area counts.</x:v>
      </x:c>
      <x:c r="E5" s="98" t="str">
        <x:v>Current statewide aggregate, includes ownership split and web/phone coverage.</x:v>
      </x:c>
      <x:c r="F5" s="98" t="str">
        <x:v>Public page exposes only a 10-record sample of the full row-level dataset; 539 counts listings/locations, not unique corporate entities.</x:v>
      </x:c>
      <x:c r="G5" s="80" t="str">
        <x:v>https://rentechdigital.com/smartscraper/business-report-details/united-states/list-of-garage-door-suppliers-in-michigan</x:v>
      </x:c>
      <x:c r="H5" s="98" t="str">
        <x:v>Reports 358 single-owner operations and 181 locations that are part of larger brands.</x:v>
      </x:c>
    </x:row>
    <x:row r="6" ht="44" customHeight="1">
      <x:c r="A6" s="98" t="str">
        <x:v>Manta</x:v>
      </x:c>
      <x:c r="B6" s="98" t="str">
        <x:v>Current page viewed Aug. 9, 2026</x:v>
      </x:c>
      <x:c r="C6" s="99" t="n">
        <x:v>471</x:v>
      </x:c>
      <x:c r="D6" s="98" t="str">
        <x:v>Independent statewide category cross-check.</x:v>
      </x:c>
      <x:c r="E6" s="98" t="str">
        <x:v>Large public directory with city browsing and business category descriptions.</x:v>
      </x:c>
      <x:c r="F6" s="98" t="str">
        <x:v>Can contain SEO-style, duplicate, stale, moved, or closed listings; category membership alone does not guarantee an active install + repair operation.</x:v>
      </x:c>
      <x:c r="G6" s="80" t="str">
        <x:v>https://www.manta.com/mb_45_E00D305N_23/garage_doors_sale_and_installation/michigan?show_all_cities=1</x:v>
      </x:c>
      <x:c r="H6" s="98" t="str">
        <x:v>Used for market triangulation rather than blindly adding every listing.</x:v>
      </x:c>
    </x:row>
    <x:row r="7" ht="44" customHeight="1">
      <x:c r="A7" s="98" t="str">
        <x:v>Clopay dealer directory</x:v>
      </x:c>
      <x:c r="B7" s="98" t="str">
        <x:v>Current pages viewed Aug. 9, 2026</x:v>
      </x:c>
      <x:c r="C7" s="99" t="n">
        <x:v>57</x:v>
      </x:c>
      <x:c r="D7" s="98" t="str">
        <x:v>High-confidence manufacturer-authorized physical Michigan install/service locations.</x:v>
      </x:c>
      <x:c r="E7" s="98" t="str">
        <x:v>Clopay explicitly describes dealer installation, time-sensitive repairs, and preventive maintenance.</x:v>
      </x:c>
      <x:c r="F7" s="98" t="str">
        <x:v>Represents Clopay's authorized network, not the full Michigan market.</x:v>
      </x:c>
      <x:c r="G7" s="80" t="str">
        <x:v>https://www.clopaydoor.com/dealers/michigan/-page-1-</x:v>
      </x:c>
      <x:c r="H7" s="98" t="str">
        <x:v>Three state directory pages; one Toledo, Ohio result on page 3 was excluded.</x:v>
      </x:c>
    </x:row>
    <x:row r="8" ht="44" customHeight="1">
      <x:c r="A8" s="98" t="str">
        <x:v>Current business index checks</x:v>
      </x:c>
      <x:c r="B8" s="98" t="str">
        <x:v>Aug. 9, 2026</x:v>
      </x:c>
      <x:c r="C8" s="99" t="n">
        <x:v>129</x:v>
      </x:c>
      <x:c r="D8" s="98" t="str">
        <x:v>Regional verification and expansion of the public row-level prospect list.</x:v>
      </x:c>
      <x:c r="E8" s="98" t="str">
        <x:v>Current business listings with phone, address, ratings/reviews where available.</x:v>
      </x:c>
      <x:c r="F8" s="98" t="str">
        <x:v>Search results are relevance-ranked, not an official exhaustive registry; some phone numbers may be tracking numbers.</x:v>
      </x:c>
      <x:c r="G8" s="80" t="str">
        <x:v>https://www.google.com/maps</x:v>
      </x:c>
      <x:c r="H8" s="98" t="str">
        <x:v>Rows include direct search URLs for last-mile verification.</x:v>
      </x:c>
    </x:row>
    <x:row r="9" ht="44" customHeight="1"/>
    <x:row r="10" ht="44" customHeight="1"/>
    <x:row r="11" ht="44" customHeight="1">
      <x:c r="A11" s="14" t="str">
        <x:v>Definition used</x:v>
      </x:c>
      <x:c r="B11" s="14" t="str">
        <x:v>Rule</x:v>
      </x:c>
      <x:c r="D11" s="14" t="str">
        <x:v>Regional checks</x:v>
      </x:c>
      <x:c r="E11" s="14" t="str">
        <x:v>Coverage note</x:v>
      </x:c>
      <x:c r="G11" s="14" t="str">
        <x:v>Recommended prospecting use</x:v>
      </x:c>
      <x:c r="H11" s="14" t="str">
        <x:v>Action</x:v>
      </x:c>
    </x:row>
    <x:row r="12" ht="44" customHeight="1">
      <x:c r="A12" s="98" t="str">
        <x:v>Included</x:v>
      </x:c>
      <x:c r="B12" s="98" t="str">
        <x:v>Michigan business/location with evidence of new garage-door installation/replacement plus repair/service capability.</x:v>
      </x:c>
      <x:c r="D12" s="98" t="str">
        <x:v>Detroit / Southeast Michigan</x:v>
      </x:c>
      <x:c r="E12" s="98" t="str">
        <x:v>Major Detroit/Oakland/Macomb/Wayne operators</x:v>
      </x:c>
      <x:c r="G12" s="98" t="str">
        <x:v>1</x:v>
      </x:c>
      <x:c r="H12" s="98" t="str">
        <x:v>Start with High-confidence rows and companies with substantial review volume.</x:v>
      </x:c>
    </x:row>
    <x:row r="13" ht="44" customHeight="1">
      <x:c r="A13" s="98" t="str">
        <x:v>Excluded</x:v>
      </x:c>
      <x:c r="B13" s="98" t="str">
        <x:v>Known out-of-state locations, clearly closed listings, and entries that could not be reasonably tied to both installation and service/repair.</x:v>
      </x:c>
      <x:c r="D13" s="98" t="str">
        <x:v>Ann Arbor / Livingston</x:v>
      </x:c>
      <x:c r="E13" s="98" t="str">
        <x:v>Ann Arbor, Ypsilanti, Brighton, Pinckney</x:v>
      </x:c>
      <x:c r="G13" s="98" t="str">
        <x:v>2</x:v>
      </x:c>
      <x:c r="H13" s="98" t="str">
        <x:v>Use Source URL and Secondary Source URL to confirm current location/phone before outreach.</x:v>
      </x:c>
    </x:row>
    <x:row r="14" ht="44" customHeight="1">
      <x:c r="A14" s="98" t="str">
        <x:v>Deduplication</x:v>
      </x:c>
      <x:c r="B14" s="98" t="str">
        <x:v>Cross-source records were merged when they clearly represented the same company/location (same company plus matching phone/address/location evidence). Alternate phones and secondary source URLs were preserved.</x:v>
      </x:c>
      <x:c r="D14" s="98" t="str">
        <x:v>Grand Rapids / West Michigan</x:v>
      </x:c>
      <x:c r="E14" s="98" t="str">
        <x:v>Grand Rapids, Hudsonville, Wyoming/Byron Center area</x:v>
      </x:c>
      <x:c r="G14" s="98" t="str">
        <x:v>3</x:v>
      </x:c>
      <x:c r="H14" s="98" t="str">
        <x:v>Add owner/contact name, email, website, employee count, and CRM status as enrichment fields if this becomes an outbound campaign.</x:v>
      </x:c>
    </x:row>
    <x:row r="15" ht="44" customHeight="1">
      <x:c r="A15" s="98" t="str">
        <x:v>Count language</x:v>
      </x:c>
      <x:c r="B15" s="98" t="str">
        <x:v>“Company” and “location” are not interchangeable. Statewide directory totals can include multiple branch locations from the same brand.</x:v>
      </x:c>
      <x:c r="D15" s="98" t="str">
        <x:v>Lansing / Mid-Michigan</x:v>
      </x:c>
      <x:c r="E15" s="98" t="str">
        <x:v>Lansing, East Lansing, DeWitt, Grand Ledge, Eaton Rapids</x:v>
      </x:c>
      <x:c r="G15" s="98" t="str">
        <x:v>4</x:v>
      </x:c>
      <x:c r="H15" s="98" t="str">
        <x:v>Refresh the list periodically; local service businesses open, close, merge, and move.</x:v>
      </x:c>
    </x:row>
    <x:row r="16" ht="44" customHeight="1">
      <x:c r="A16" s="98" t="str">
        <x:v>Completeness</x:v>
      </x:c>
      <x:c r="B16" s="98" t="str">
        <x:v>The verified row-level list contains 186 deduplicated public records. It should be treated as a high-confidence prospecting subset, not a certified universe of all 539 listings.</x:v>
      </x:c>
      <x:c r="D16" s="98" t="str">
        <x:v>Flint / Genesee / Lapeer</x:v>
      </x:c>
      <x:c r="E16" s="98" t="str">
        <x:v>Flint, Grand Blanc, Fenton, Lapeer, Davison, North Branch</x:v>
      </x:c>
    </x:row>
    <x:row r="17" ht="44" customHeight="1">
      <x:c r="D17" s="98" t="str">
        <x:v>Traverse City / Northern Michigan</x:v>
      </x:c>
      <x:c r="E17" s="98" t="str">
        <x:v>Traverse City, Interlochen, Kingsley, Petoskey, Kalkaska and nearby</x:v>
      </x:c>
    </x:row>
    <x:row r="18" ht="44" customHeight="1">
      <x:c r="D18" s="98" t="str">
        <x:v>Kalamazoo / Southwest</x:v>
      </x:c>
      <x:c r="E18" s="98" t="str">
        <x:v>Kalamazoo, Portage, Battle Creek, Mattawan, Three Rivers</x:v>
      </x:c>
    </x:row>
    <x:row r="19" ht="44" customHeight="1">
      <x:c r="D19" s="98" t="str">
        <x:v>Great Lakes Bay</x:v>
      </x:c>
      <x:c r="E19" s="98" t="str">
        <x:v>Saginaw, Bay City, Midland, Freeland, Auburn</x:v>
      </x:c>
    </x:row>
    <x:row r="20" ht="44" customHeight="1">
      <x:c r="D20" s="98" t="str">
        <x:v>Upper Peninsula</x:v>
      </x:c>
      <x:c r="E20" s="98" t="str">
        <x:v>Marquette, Escanaba/Gladstone, Menominee, McMillan and nearby</x:v>
      </x:c>
    </x:row>
    <x:row r="21" ht="44" customHeight="1">
      <x:c r="D21" s="98" t="str">
        <x:v>Jackson / South-Central</x:v>
      </x:c>
      <x:c r="E21" s="98" t="str">
        <x:v>Jackson, Spring Arbor, Homer, Howell/Dexter crossover</x:v>
      </x:c>
    </x:row>
    <x:row r="22" ht="44" customHeight="1">
      <x:c r="D22" s="98" t="str">
        <x:v>Port Huron / St. Clair / Macomb</x:v>
      </x:c>
      <x:c r="E22" s="98" t="str">
        <x:v>Port Huron, Fort Gratiot, New Haven, Clinton Township</x:v>
      </x:c>
    </x:row>
    <x:row r="23" ht="44" customHeight="1">
      <x:c r="D23" s="98" t="str">
        <x:v>Muskegon / Lakeshore</x:v>
      </x:c>
      <x:c r="E23" s="98" t="str">
        <x:v>Muskegon, Norton Shores, Grand Haven, Spring Lake, Zeeland, Newaygo</x:v>
      </x:c>
    </x:row>
    <x:row r="24" ht="44" customHeight="1"/>
  </x:sheetData>
  <x:mergeCells>
    <x:mergeCell ref="A1:H2"/>
  </x:mergeCells>
  <x:pageMargins left="0.7" right="0.7" top="0.75" bottom="0.75" header="0.3" footer="0.3"/>
</x:worksheet>
</file>